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7d6a24210efdff86/Tài liệu/"/>
    </mc:Choice>
  </mc:AlternateContent>
  <xr:revisionPtr revIDLastSave="800" documentId="8_{7DA3E939-8638-40B1-B7AA-DA64F9FD5D3C}" xr6:coauthVersionLast="47" xr6:coauthVersionMax="47" xr10:uidLastSave="{BCF0DE49-EFE1-4584-94D4-9AD643AAB3CF}"/>
  <bookViews>
    <workbookView xWindow="-110" yWindow="-110" windowWidth="19420" windowHeight="11500" activeTab="2" xr2:uid="{0C00F8C2-8810-4CB8-865E-C156421EEC26}"/>
  </bookViews>
  <sheets>
    <sheet name="README" sheetId="2" r:id="rId1"/>
    <sheet name="DASHBOARD" sheetId="3" r:id="rId2"/>
    <sheet name="ANALYSIS" sheetId="5" r:id="rId3"/>
    <sheet name="DATA" sheetId="1" r:id="rId4"/>
  </sheets>
  <definedNames>
    <definedName name="_xlchart.v2.0" hidden="1">ANALYSIS!$H$18:$K$18</definedName>
    <definedName name="_xlchart.v2.1" hidden="1">ANALYSIS!$H$19:$K$19</definedName>
    <definedName name="_xlchart.v2.2" hidden="1">ANALYSIS!$H$12:$K$12</definedName>
    <definedName name="_xlchart.v2.3" hidden="1">ANALYSIS!$H$13:$K$13</definedName>
    <definedName name="_xlchart.v2.4" hidden="1">ANALYSIS!$H$15:$K$15</definedName>
    <definedName name="_xlchart.v2.5" hidden="1">ANALYSIS!$H$16:$K$16</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57" i="1" l="1"/>
  <c r="K157" i="1"/>
  <c r="J157" i="1"/>
  <c r="I157" i="1"/>
  <c r="L156" i="1"/>
  <c r="K156" i="1"/>
  <c r="J156" i="1"/>
  <c r="I156" i="1"/>
  <c r="L155" i="1"/>
  <c r="K155" i="1"/>
  <c r="J155" i="1"/>
  <c r="I155" i="1"/>
  <c r="L154" i="1"/>
  <c r="K154" i="1"/>
  <c r="J154" i="1"/>
  <c r="I154" i="1"/>
  <c r="L153" i="1"/>
  <c r="K153" i="1"/>
  <c r="J153" i="1"/>
  <c r="I153" i="1"/>
  <c r="L152" i="1"/>
  <c r="K152" i="1"/>
  <c r="J152" i="1"/>
  <c r="I152" i="1"/>
  <c r="L151" i="1"/>
  <c r="K151" i="1"/>
  <c r="J151" i="1"/>
  <c r="I151" i="1"/>
  <c r="L150" i="1"/>
  <c r="K150" i="1"/>
  <c r="J150" i="1"/>
  <c r="I150" i="1"/>
  <c r="L149" i="1"/>
  <c r="K149" i="1"/>
  <c r="J149" i="1"/>
  <c r="I149" i="1"/>
  <c r="L148" i="1"/>
  <c r="K148" i="1"/>
  <c r="J148" i="1"/>
  <c r="I148" i="1"/>
  <c r="L147" i="1"/>
  <c r="K147" i="1"/>
  <c r="J147" i="1"/>
  <c r="I147" i="1"/>
  <c r="L146" i="1"/>
  <c r="K146" i="1"/>
  <c r="J146" i="1"/>
  <c r="I146" i="1"/>
  <c r="L145" i="1"/>
  <c r="K145" i="1"/>
  <c r="J145" i="1"/>
  <c r="I145" i="1"/>
  <c r="L144" i="1"/>
  <c r="K144" i="1"/>
  <c r="J144" i="1"/>
  <c r="I144" i="1"/>
  <c r="L143" i="1"/>
  <c r="K143" i="1"/>
  <c r="J143" i="1"/>
  <c r="I143" i="1"/>
  <c r="L142" i="1"/>
  <c r="K142" i="1"/>
  <c r="J142" i="1"/>
  <c r="I142" i="1"/>
  <c r="L141" i="1"/>
  <c r="K141" i="1"/>
  <c r="J141" i="1"/>
  <c r="I141" i="1"/>
  <c r="L140" i="1"/>
  <c r="K140" i="1"/>
  <c r="J140" i="1"/>
  <c r="I140" i="1"/>
  <c r="L139" i="1"/>
  <c r="K139" i="1"/>
  <c r="J139" i="1"/>
  <c r="I139" i="1"/>
  <c r="L138" i="1"/>
  <c r="K138" i="1"/>
  <c r="J138" i="1"/>
  <c r="I138" i="1"/>
  <c r="L137" i="1"/>
  <c r="K137" i="1"/>
  <c r="J137" i="1"/>
  <c r="I137" i="1"/>
  <c r="L136" i="1"/>
  <c r="K136" i="1"/>
  <c r="J136" i="1"/>
  <c r="I136" i="1"/>
  <c r="L135" i="1"/>
  <c r="K135" i="1"/>
  <c r="J135" i="1"/>
  <c r="I135" i="1"/>
  <c r="L134" i="1"/>
  <c r="K134" i="1"/>
  <c r="J134" i="1"/>
  <c r="I134" i="1"/>
  <c r="L133" i="1"/>
  <c r="K133" i="1"/>
  <c r="J133" i="1"/>
  <c r="I133" i="1"/>
  <c r="L132" i="1"/>
  <c r="K132" i="1"/>
  <c r="J132" i="1"/>
  <c r="I132" i="1"/>
  <c r="L131" i="1"/>
  <c r="K131" i="1"/>
  <c r="J131" i="1"/>
  <c r="I131" i="1"/>
  <c r="L130" i="1"/>
  <c r="K130" i="1"/>
  <c r="J130" i="1"/>
  <c r="I130" i="1"/>
  <c r="L129" i="1"/>
  <c r="K129" i="1"/>
  <c r="J129" i="1"/>
  <c r="I129" i="1"/>
  <c r="L128" i="1"/>
  <c r="K128" i="1"/>
  <c r="J128" i="1"/>
  <c r="I128" i="1"/>
  <c r="L127" i="1"/>
  <c r="K127" i="1"/>
  <c r="J127" i="1"/>
  <c r="I127" i="1"/>
  <c r="L126" i="1"/>
  <c r="K126" i="1"/>
  <c r="J126" i="1"/>
  <c r="I126" i="1"/>
  <c r="L125" i="1"/>
  <c r="K125" i="1"/>
  <c r="J125" i="1"/>
  <c r="I125" i="1"/>
  <c r="L124" i="1"/>
  <c r="K124" i="1"/>
  <c r="J124" i="1"/>
  <c r="I124" i="1"/>
  <c r="L123" i="1"/>
  <c r="K123" i="1"/>
  <c r="J123" i="1"/>
  <c r="I123" i="1"/>
  <c r="L122" i="1"/>
  <c r="K122" i="1"/>
  <c r="J122" i="1"/>
  <c r="I122" i="1"/>
  <c r="L121" i="1"/>
  <c r="K121" i="1"/>
  <c r="J121" i="1"/>
  <c r="I121" i="1"/>
  <c r="L120" i="1"/>
  <c r="K120" i="1"/>
  <c r="J120" i="1"/>
  <c r="I120" i="1"/>
  <c r="L119" i="1"/>
  <c r="K119" i="1"/>
  <c r="J119" i="1"/>
  <c r="I119" i="1"/>
  <c r="L118" i="1"/>
  <c r="K118" i="1"/>
  <c r="J118" i="1"/>
  <c r="I118" i="1"/>
  <c r="L117" i="1"/>
  <c r="K117" i="1"/>
  <c r="J117" i="1"/>
  <c r="I117" i="1"/>
  <c r="L116" i="1"/>
  <c r="K116" i="1"/>
  <c r="J116" i="1"/>
  <c r="I116" i="1"/>
  <c r="L115" i="1"/>
  <c r="K115" i="1"/>
  <c r="J115" i="1"/>
  <c r="I115" i="1"/>
  <c r="L114" i="1"/>
  <c r="K114" i="1"/>
  <c r="J114" i="1"/>
  <c r="I114" i="1"/>
  <c r="L113" i="1"/>
  <c r="K113" i="1"/>
  <c r="J113" i="1"/>
  <c r="I113" i="1"/>
  <c r="L112" i="1"/>
  <c r="K112" i="1"/>
  <c r="J112" i="1"/>
  <c r="I112" i="1"/>
  <c r="L111" i="1"/>
  <c r="K111" i="1"/>
  <c r="J111" i="1"/>
  <c r="I111" i="1"/>
  <c r="L110" i="1"/>
  <c r="K110" i="1"/>
  <c r="J110" i="1"/>
  <c r="I110" i="1"/>
  <c r="L109" i="1"/>
  <c r="K109" i="1"/>
  <c r="J109" i="1"/>
  <c r="I109" i="1"/>
  <c r="L108" i="1"/>
  <c r="K108" i="1"/>
  <c r="J108" i="1"/>
  <c r="I108" i="1"/>
  <c r="L107" i="1"/>
  <c r="K107" i="1"/>
  <c r="J107" i="1"/>
  <c r="I107" i="1"/>
  <c r="L106" i="1"/>
  <c r="K106" i="1"/>
  <c r="J106" i="1"/>
  <c r="I106" i="1"/>
  <c r="L105" i="1"/>
  <c r="K105" i="1"/>
  <c r="J105" i="1"/>
  <c r="I105" i="1"/>
  <c r="L104" i="1"/>
  <c r="K104" i="1"/>
  <c r="J104" i="1"/>
  <c r="I104" i="1"/>
  <c r="L103" i="1"/>
  <c r="K103" i="1"/>
  <c r="J103" i="1"/>
  <c r="I103" i="1"/>
  <c r="L102" i="1"/>
  <c r="K102" i="1"/>
  <c r="J102" i="1"/>
  <c r="I102" i="1"/>
  <c r="L101" i="1"/>
  <c r="K101" i="1"/>
  <c r="J101" i="1"/>
  <c r="I101" i="1"/>
  <c r="L100" i="1"/>
  <c r="K100" i="1"/>
  <c r="J100" i="1"/>
  <c r="I100" i="1"/>
  <c r="L99" i="1"/>
  <c r="K99" i="1"/>
  <c r="J99" i="1"/>
  <c r="I99" i="1"/>
  <c r="L98" i="1"/>
  <c r="K98" i="1"/>
  <c r="J98" i="1"/>
  <c r="I98" i="1"/>
  <c r="L97" i="1"/>
  <c r="K97" i="1"/>
  <c r="J97" i="1"/>
  <c r="I97" i="1"/>
  <c r="L96" i="1"/>
  <c r="K96" i="1"/>
  <c r="J96" i="1"/>
  <c r="I96" i="1"/>
  <c r="L95" i="1"/>
  <c r="K95" i="1"/>
  <c r="J95" i="1"/>
  <c r="I95" i="1"/>
  <c r="L94" i="1"/>
  <c r="K94" i="1"/>
  <c r="J94" i="1"/>
  <c r="I94" i="1"/>
  <c r="L93" i="1"/>
  <c r="K93" i="1"/>
  <c r="J93" i="1"/>
  <c r="I93" i="1"/>
  <c r="L92" i="1"/>
  <c r="K92" i="1"/>
  <c r="J92" i="1"/>
  <c r="I92" i="1"/>
  <c r="L91" i="1"/>
  <c r="K91" i="1"/>
  <c r="J91" i="1"/>
  <c r="I91" i="1"/>
  <c r="L90" i="1"/>
  <c r="K90" i="1"/>
  <c r="J90" i="1"/>
  <c r="I90" i="1"/>
  <c r="L89" i="1"/>
  <c r="K89" i="1"/>
  <c r="J89" i="1"/>
  <c r="I89" i="1"/>
  <c r="L88" i="1"/>
  <c r="K88" i="1"/>
  <c r="J88" i="1"/>
  <c r="I88" i="1"/>
  <c r="L87" i="1"/>
  <c r="K87" i="1"/>
  <c r="J87" i="1"/>
  <c r="I87" i="1"/>
  <c r="L86" i="1"/>
  <c r="K86" i="1"/>
  <c r="J86" i="1"/>
  <c r="I86" i="1"/>
  <c r="L85" i="1"/>
  <c r="K85" i="1"/>
  <c r="J85" i="1"/>
  <c r="I85" i="1"/>
  <c r="L84" i="1"/>
  <c r="K84" i="1"/>
  <c r="J84" i="1"/>
  <c r="I84" i="1"/>
  <c r="L83" i="1"/>
  <c r="K83" i="1"/>
  <c r="J83" i="1"/>
  <c r="I83" i="1"/>
  <c r="L82" i="1"/>
  <c r="K82" i="1"/>
  <c r="J82" i="1"/>
  <c r="I82" i="1"/>
  <c r="L81" i="1"/>
  <c r="K81" i="1"/>
  <c r="J81" i="1"/>
  <c r="I81" i="1"/>
  <c r="L80" i="1"/>
  <c r="K80" i="1"/>
  <c r="J80" i="1"/>
  <c r="I80" i="1"/>
  <c r="L79" i="1"/>
  <c r="K79" i="1"/>
  <c r="J79" i="1"/>
  <c r="I79" i="1"/>
  <c r="L78" i="1"/>
  <c r="K78" i="1"/>
  <c r="J78" i="1"/>
  <c r="I78" i="1"/>
  <c r="L77" i="1"/>
  <c r="K77" i="1"/>
  <c r="J77" i="1"/>
  <c r="I77" i="1"/>
  <c r="L76" i="1"/>
  <c r="K76" i="1"/>
  <c r="J76" i="1"/>
  <c r="I76" i="1"/>
  <c r="L75" i="1"/>
  <c r="K75" i="1"/>
  <c r="J75" i="1"/>
  <c r="I75" i="1"/>
  <c r="L74" i="1"/>
  <c r="K74" i="1"/>
  <c r="J74" i="1"/>
  <c r="I74" i="1"/>
  <c r="L73" i="1"/>
  <c r="K73" i="1"/>
  <c r="J73" i="1"/>
  <c r="I73" i="1"/>
  <c r="L72" i="1"/>
  <c r="K72" i="1"/>
  <c r="J72" i="1"/>
  <c r="I72" i="1"/>
  <c r="L71" i="1"/>
  <c r="K71" i="1"/>
  <c r="J71" i="1"/>
  <c r="I71" i="1"/>
  <c r="L70" i="1"/>
  <c r="K70" i="1"/>
  <c r="J70" i="1"/>
  <c r="I70" i="1"/>
  <c r="L69" i="1"/>
  <c r="K69" i="1"/>
  <c r="J69" i="1"/>
  <c r="I69" i="1"/>
  <c r="L68" i="1"/>
  <c r="K68" i="1"/>
  <c r="J68" i="1"/>
  <c r="I68" i="1"/>
  <c r="L67" i="1"/>
  <c r="K67" i="1"/>
  <c r="J67" i="1"/>
  <c r="I67" i="1"/>
  <c r="L66" i="1"/>
  <c r="K66" i="1"/>
  <c r="J66" i="1"/>
  <c r="I66" i="1"/>
  <c r="L65" i="1"/>
  <c r="K65" i="1"/>
  <c r="J65" i="1"/>
  <c r="I65" i="1"/>
  <c r="L64" i="1"/>
  <c r="K64" i="1"/>
  <c r="J64" i="1"/>
  <c r="I64" i="1"/>
  <c r="L63" i="1"/>
  <c r="K63" i="1"/>
  <c r="J63" i="1"/>
  <c r="I63" i="1"/>
  <c r="L62" i="1"/>
  <c r="K62" i="1"/>
  <c r="J62" i="1"/>
  <c r="I62" i="1"/>
  <c r="L61" i="1"/>
  <c r="K61" i="1"/>
  <c r="J61" i="1"/>
  <c r="I61" i="1"/>
  <c r="L60" i="1"/>
  <c r="K60" i="1"/>
  <c r="J60" i="1"/>
  <c r="I60" i="1"/>
  <c r="L59" i="1"/>
  <c r="K59" i="1"/>
  <c r="J59" i="1"/>
  <c r="I59" i="1"/>
  <c r="L58" i="1"/>
  <c r="K58" i="1"/>
  <c r="J58" i="1"/>
  <c r="I58" i="1"/>
  <c r="L57" i="1"/>
  <c r="K57" i="1"/>
  <c r="J57" i="1"/>
  <c r="I57" i="1"/>
  <c r="L56" i="1"/>
  <c r="K56" i="1"/>
  <c r="J56" i="1"/>
  <c r="I56" i="1"/>
  <c r="L55" i="1"/>
  <c r="K55" i="1"/>
  <c r="J55" i="1"/>
  <c r="I55" i="1"/>
  <c r="L54" i="1"/>
  <c r="K54" i="1"/>
  <c r="J54" i="1"/>
  <c r="I54" i="1"/>
  <c r="L53" i="1"/>
  <c r="K53" i="1"/>
  <c r="J53" i="1"/>
  <c r="I53" i="1"/>
  <c r="L52" i="1"/>
  <c r="K52" i="1"/>
  <c r="J52" i="1"/>
  <c r="I52" i="1"/>
  <c r="L51" i="1"/>
  <c r="K51" i="1"/>
  <c r="J51" i="1"/>
  <c r="I51" i="1"/>
  <c r="L50" i="1"/>
  <c r="K50" i="1"/>
  <c r="J50" i="1"/>
  <c r="I50" i="1"/>
  <c r="L49" i="1"/>
  <c r="K49" i="1"/>
  <c r="J49" i="1"/>
  <c r="I49" i="1"/>
  <c r="L48" i="1"/>
  <c r="K48" i="1"/>
  <c r="J48" i="1"/>
  <c r="I48" i="1"/>
  <c r="L47" i="1"/>
  <c r="K47" i="1"/>
  <c r="J47" i="1"/>
  <c r="I47" i="1"/>
  <c r="L46" i="1"/>
  <c r="K46" i="1"/>
  <c r="J46" i="1"/>
  <c r="I46" i="1"/>
  <c r="L45" i="1"/>
  <c r="K45" i="1"/>
  <c r="J45" i="1"/>
  <c r="I45" i="1"/>
  <c r="L44" i="1"/>
  <c r="K44" i="1"/>
  <c r="J44" i="1"/>
  <c r="I44" i="1"/>
  <c r="L43" i="1"/>
  <c r="K43" i="1"/>
  <c r="J43" i="1"/>
  <c r="I43" i="1"/>
  <c r="L42" i="1"/>
  <c r="K42" i="1"/>
  <c r="J42" i="1"/>
  <c r="I42" i="1"/>
  <c r="L41" i="1"/>
  <c r="K41" i="1"/>
  <c r="J41" i="1"/>
  <c r="I41" i="1"/>
  <c r="L40" i="1"/>
  <c r="K40" i="1"/>
  <c r="J40" i="1"/>
  <c r="I40" i="1"/>
  <c r="L39" i="1"/>
  <c r="K39" i="1"/>
  <c r="J39" i="1"/>
  <c r="I39" i="1"/>
  <c r="L38" i="1"/>
  <c r="K38" i="1"/>
  <c r="J38" i="1"/>
  <c r="I38" i="1"/>
  <c r="L37" i="1"/>
  <c r="K37" i="1"/>
  <c r="J37" i="1"/>
  <c r="I37" i="1"/>
  <c r="L36" i="1"/>
  <c r="K36" i="1"/>
  <c r="J36" i="1"/>
  <c r="I36" i="1"/>
  <c r="L35" i="1"/>
  <c r="K35" i="1"/>
  <c r="J35" i="1"/>
  <c r="I35" i="1"/>
  <c r="L34" i="1"/>
  <c r="K34" i="1"/>
  <c r="J34" i="1"/>
  <c r="I34" i="1"/>
  <c r="L33" i="1"/>
  <c r="K33" i="1"/>
  <c r="J33" i="1"/>
  <c r="I33" i="1"/>
  <c r="L32" i="1"/>
  <c r="K32" i="1"/>
  <c r="J32" i="1"/>
  <c r="I32" i="1"/>
  <c r="L31" i="1"/>
  <c r="K31" i="1"/>
  <c r="J31" i="1"/>
  <c r="I31" i="1"/>
  <c r="L30" i="1"/>
  <c r="K30" i="1"/>
  <c r="J30" i="1"/>
  <c r="I30" i="1"/>
  <c r="L29" i="1"/>
  <c r="K29" i="1"/>
  <c r="J29" i="1"/>
  <c r="I29" i="1"/>
  <c r="L28" i="1"/>
  <c r="K28" i="1"/>
  <c r="J28" i="1"/>
  <c r="I28" i="1"/>
  <c r="L27" i="1"/>
  <c r="K27" i="1"/>
  <c r="J27" i="1"/>
  <c r="I27" i="1"/>
  <c r="L26" i="1"/>
  <c r="K26" i="1"/>
  <c r="J26" i="1"/>
  <c r="I26" i="1"/>
  <c r="L25" i="1"/>
  <c r="K25" i="1"/>
  <c r="J25" i="1"/>
  <c r="I25" i="1"/>
  <c r="L24" i="1"/>
  <c r="K24" i="1"/>
  <c r="J24" i="1"/>
  <c r="I24" i="1"/>
  <c r="L23" i="1"/>
  <c r="K23" i="1"/>
  <c r="J23" i="1"/>
  <c r="I23" i="1"/>
  <c r="L22" i="1"/>
  <c r="K22" i="1"/>
  <c r="J22" i="1"/>
  <c r="I22" i="1"/>
  <c r="L21" i="1"/>
  <c r="K21" i="1"/>
  <c r="J21" i="1"/>
  <c r="I21" i="1"/>
  <c r="L20" i="1"/>
  <c r="K20" i="1"/>
  <c r="J20" i="1"/>
  <c r="I20" i="1"/>
  <c r="L19" i="1"/>
  <c r="K19" i="1"/>
  <c r="J19" i="1"/>
  <c r="I19" i="1"/>
  <c r="L18" i="1"/>
  <c r="K18" i="1"/>
  <c r="J18" i="1"/>
  <c r="I18" i="1"/>
  <c r="L17" i="1"/>
  <c r="K17" i="1"/>
  <c r="J17" i="1"/>
  <c r="I17" i="1"/>
  <c r="L16" i="1"/>
  <c r="K16" i="1"/>
  <c r="J16" i="1"/>
  <c r="I16" i="1"/>
  <c r="L15" i="1"/>
  <c r="K15" i="1"/>
  <c r="J15" i="1"/>
  <c r="I15" i="1"/>
  <c r="L14" i="1"/>
  <c r="K14" i="1"/>
  <c r="J14" i="1"/>
  <c r="I14" i="1"/>
  <c r="L13" i="1"/>
  <c r="K13" i="1"/>
  <c r="J13" i="1"/>
  <c r="I13" i="1"/>
  <c r="L12" i="1"/>
  <c r="K12" i="1"/>
  <c r="J12" i="1"/>
  <c r="I12" i="1"/>
  <c r="L11" i="1"/>
  <c r="K11" i="1"/>
  <c r="J11" i="1"/>
  <c r="I11" i="1"/>
  <c r="L10" i="1"/>
  <c r="K10" i="1"/>
  <c r="J10" i="1"/>
  <c r="I10" i="1"/>
  <c r="L9" i="1"/>
  <c r="K9" i="1"/>
  <c r="J9" i="1"/>
  <c r="I9" i="1"/>
  <c r="L8" i="1"/>
  <c r="K8" i="1"/>
  <c r="J8" i="1"/>
  <c r="I8" i="1"/>
  <c r="L7" i="1"/>
  <c r="K7" i="1"/>
  <c r="J7" i="1"/>
  <c r="I7" i="1"/>
  <c r="L6" i="1"/>
  <c r="K6" i="1"/>
  <c r="J6" i="1"/>
  <c r="I6" i="1"/>
  <c r="L5" i="1"/>
  <c r="K5" i="1"/>
  <c r="J5" i="1"/>
  <c r="I5" i="1"/>
  <c r="L4" i="1"/>
  <c r="K4" i="1"/>
  <c r="J4" i="1"/>
  <c r="I4" i="1"/>
  <c r="L3" i="1"/>
  <c r="K3" i="1"/>
  <c r="J3" i="1"/>
  <c r="I3" i="1"/>
  <c r="L2" i="1"/>
  <c r="K2" i="1"/>
  <c r="J2" i="1"/>
  <c r="I2" i="1"/>
</calcChain>
</file>

<file path=xl/sharedStrings.xml><?xml version="1.0" encoding="utf-8"?>
<sst xmlns="http://schemas.openxmlformats.org/spreadsheetml/2006/main" count="390" uniqueCount="57">
  <si>
    <t>Week_Start</t>
  </si>
  <si>
    <t>Channel</t>
  </si>
  <si>
    <t>Campaign</t>
  </si>
  <si>
    <t>Visits</t>
  </si>
  <si>
    <t>Add_to_Cart</t>
  </si>
  <si>
    <t>Checkout</t>
  </si>
  <si>
    <t>Orders</t>
  </si>
  <si>
    <t>Ad_Spend</t>
  </si>
  <si>
    <t>ATC_Rate</t>
  </si>
  <si>
    <t>Checkout_Rate</t>
  </si>
  <si>
    <t>Conversion_Rate</t>
  </si>
  <si>
    <t>Cost_per_Order</t>
  </si>
  <si>
    <t>Website</t>
  </si>
  <si>
    <t>Email CRM</t>
  </si>
  <si>
    <t>Marketplace</t>
  </si>
  <si>
    <t>Marketplace Organic</t>
  </si>
  <si>
    <t>Social Commerce</t>
  </si>
  <si>
    <t>Social Organic</t>
  </si>
  <si>
    <t>Search Ads</t>
  </si>
  <si>
    <t>Marketplace Ads</t>
  </si>
  <si>
    <t>Social Ads</t>
  </si>
  <si>
    <t>Organic</t>
  </si>
  <si>
    <t>Seasonal Sale</t>
  </si>
  <si>
    <t>Mega Campaign</t>
  </si>
  <si>
    <t>Livestream Promo</t>
  </si>
  <si>
    <t>Row Labels</t>
  </si>
  <si>
    <t>Grand Total</t>
  </si>
  <si>
    <t>Sum of Visits</t>
  </si>
  <si>
    <t>Sum of Add_to_Cart</t>
  </si>
  <si>
    <t>Sum of Checkout</t>
  </si>
  <si>
    <t>Sum of Orders</t>
  </si>
  <si>
    <t>Sum of Ad_Spend</t>
  </si>
  <si>
    <t>ATC Rate</t>
  </si>
  <si>
    <t>Checkout Rate</t>
  </si>
  <si>
    <t>Order Completion</t>
  </si>
  <si>
    <t>Conversion Rate</t>
  </si>
  <si>
    <t>Cost per Order</t>
  </si>
  <si>
    <t>HIỆU SUẤT PHỄU THEO KÊNH</t>
  </si>
  <si>
    <t>BIỂU ĐỒ SO SÁNH TỶ LỆ THEO KÊNH</t>
  </si>
  <si>
    <t>Add to Cart</t>
  </si>
  <si>
    <t>BIỂU ĐỒ PHỄU</t>
  </si>
  <si>
    <t>Sum of CPO_calc</t>
  </si>
  <si>
    <t>CAMPAIGN NÀO TỐN KÉM NHẤT</t>
  </si>
  <si>
    <t>CHI PHÍ CÁC CAMPAIGN</t>
  </si>
  <si>
    <t>1. Business Question</t>
  </si>
  <si>
    <t>Kênh nào đang rò rỉ khách hàng nhiều nhất trong phễu chuyển đổi (Visits → Add to Cart → Checkout → Order), và campaign nào tốn chi phí nhất trên mỗi đơn hàng?</t>
  </si>
  <si>
    <t>2. Data Source</t>
  </si>
  <si>
    <t>Sheet: Marketing_Funnel (trích từ Retail_Dataset.xlsx) Số dòng: 156 (52 tuần x 3 kênh) Phạm vi thời gian: 01/2025 – 12/2025 Kênh: Marketplace, Website, Social Commerce Campaign: 10 campaign, gồm cả Organic (không tốn chi phí quảng cáo)</t>
  </si>
  <si>
    <t>3. KPI Definitions</t>
  </si>
  <si>
    <t>ATC Rate = Add_to_Cart / Visits Checkout Rate = Checkout / Add_to_Cart Order Completion Rate = Orders / Checkout Conversion Rate (CVR) = Orders / Visits Cost per Order (CPO) = Ad_Spend / Orders Lưu ý: mọi tỷ lệ được tính bằng Sum(tử số)/Sum(mẫu số) tổng theo kênh/campaign, không lấy trung bình cộng của tỷ lệ từng tuần (Average), để tránh sai lệch khi các tuần có quy mô traffic khác nhau.</t>
  </si>
  <si>
    <t>4. Assumptions &amp; Limitations</t>
  </si>
  <si>
    <t>Dữ liệu Marketing_Funnel là số liệu tổng hợp theo tuần, không nối được với dữ liệu đơn hàng thực tế ở sheet Sales (khác nguồn, khác quy mô: ~16.000 đơn qua funnel so với 1.181 đơn ở Sales). CPO của campaign Organic = 0 vì Ad_Spend = 0, nên các campaign Organic được loại khỏi bảng xếp hạng CPO để so sánh công bằng giữa các campaign trả phí. CPO tổng toàn hệ thống (Grand Total) là "blended CPO" — gộp cả organic lẫn trả phí — nên thấp hơn CPO thực của từng campaign trả phí. Không có dữ liệu về giá trị đơn hàng (Order Value) trong sheet này, nên chưa đánh giá được ROI (lợi nhuận so với chi phí quảng cáo), chỉ dừng ở chi phí trên mỗi đơn.</t>
  </si>
  <si>
    <t>INSIGHT 1</t>
  </si>
  <si>
    <t>INSIGHT 2</t>
  </si>
  <si>
    <t>INSIGHT 3</t>
  </si>
  <si>
    <t>5. Key Findings</t>
  </si>
  <si>
    <t>1. Social Commerce có tỷ lệ chuyển đổi (CVR) thấp nhất trong 3 kênh, chỉ 8,3% so với 15,1% của Marketplace — gần bằng một nửa. Khoảng cách này xuất hiện dần ở cả 3 bước của phễu: ATC Rate thấp hơn (21,6% so với 29,6%), Checkout Rate cũng thấp hơn (57,4% so với 65,7%), cho thấy đây là vấn đề xuyên suốt cả hành trình, không phải chỉ một bước.
2. Social Ads là campaign tốn kém nhất với CPO khoảng 75.634đ, gấp gần 12 lần Email CRM (6.411đ) — mức chênh lệch lớn nhất trong các campaign trả
phí. Mega Campaign và Seasonal Sale có CPO ở mức trung bình (21.067đ và 27.019đ), là lựa chọn cân bằng hơn giữa chi phí và độ phủ.
3. Xét toàn hệ thống, bước rơi nhiều nhất là Visit → Add to Cart (73,9% khách rời đi ngay ở bước này), trong khi bước Checkout → Order lại giữ chân khách tốt nhất (chỉ mất 25,9%) — nghĩa là một khi khách đã vào thanh toán, họ gần như chắc chắn hoàn tất đơn.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</si>
</sst>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11">
    <font>
      <sz val="11"/>
      <color rgb="FF000000"/>
      <name val="Carlito"/>
      <scheme val="minor"/>
    </font>
    <font>
      <b/>
      <sz val="11"/>
      <color rgb="FFFFFFFF"/>
      <name val="Carlito"/>
    </font>
    <font>
      <sz val="11"/>
      <color rgb="FF000000"/>
      <name val="Times New Roman"/>
      <family val="1"/>
    </font>
    <font>
      <b/>
      <sz val="11"/>
      <color rgb="FF000000"/>
      <name val="Times New Roman"/>
      <family val="1"/>
    </font>
    <font>
      <b/>
      <sz val="11"/>
      <color rgb="FFFF0000"/>
      <name val="Times New Roman"/>
      <family val="1"/>
    </font>
    <font>
      <sz val="12"/>
      <color rgb="FF000000"/>
      <name val="Times New Roman"/>
      <family val="1"/>
    </font>
    <font>
      <b/>
      <sz val="14"/>
      <color theme="2"/>
      <name val="Times New Roman"/>
      <family val="1"/>
    </font>
    <font>
      <b/>
      <sz val="12"/>
      <color theme="2"/>
      <name val="Times New Roman"/>
      <family val="1"/>
    </font>
    <font>
      <sz val="11"/>
      <color theme="2"/>
      <name val="Carlito"/>
      <scheme val="minor"/>
    </font>
    <font>
      <sz val="11"/>
      <color theme="1"/>
      <name val="Times New Roman"/>
      <family val="1"/>
    </font>
    <font>
      <sz val="12"/>
      <color rgb="FF000000"/>
      <name val="Carlito"/>
      <scheme val="minor"/>
    </font>
  </fonts>
  <fills count="5">
    <fill>
      <patternFill patternType="none"/>
    </fill>
    <fill>
      <patternFill patternType="gray125"/>
    </fill>
    <fill>
      <patternFill patternType="solid">
        <fgColor rgb="FFF67280"/>
        <bgColor rgb="FFF67280"/>
      </patternFill>
    </fill>
    <fill>
      <patternFill patternType="solid">
        <fgColor theme="5" tint="0.79998168889431442"/>
        <bgColor indexed="64"/>
      </patternFill>
    </fill>
    <fill>
      <patternFill patternType="solid">
        <fgColor theme="4" tint="-0.249977111117893"/>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40">
    <xf numFmtId="0" fontId="0" fillId="0" borderId="0" xfId="0"/>
    <xf numFmtId="0" fontId="1" fillId="2" borderId="0" xfId="0" applyFont="1" applyFill="1" applyAlignment="1">
      <alignment horizontal="left" vertical="center"/>
    </xf>
    <xf numFmtId="0" fontId="2" fillId="0" borderId="0" xfId="0" applyFont="1"/>
    <xf numFmtId="0" fontId="2" fillId="0" borderId="0" xfId="0" pivotButton="1" applyFont="1"/>
    <xf numFmtId="0" fontId="2" fillId="0" borderId="0" xfId="0" applyFont="1" applyAlignment="1">
      <alignment horizontal="left"/>
    </xf>
    <xf numFmtId="3" fontId="2" fillId="0" borderId="0" xfId="0" applyNumberFormat="1" applyFont="1"/>
    <xf numFmtId="165" fontId="2" fillId="0" borderId="0" xfId="0" applyNumberFormat="1" applyFont="1"/>
    <xf numFmtId="3" fontId="2" fillId="0" borderId="4" xfId="0" applyNumberFormat="1" applyFont="1" applyBorder="1"/>
    <xf numFmtId="3" fontId="2" fillId="0" borderId="5" xfId="0" applyNumberFormat="1" applyFont="1" applyBorder="1"/>
    <xf numFmtId="3" fontId="2" fillId="0" borderId="6" xfId="0" applyNumberFormat="1" applyFont="1" applyBorder="1"/>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0" borderId="0" xfId="0" applyFont="1" applyAlignment="1">
      <alignment vertical="center"/>
    </xf>
    <xf numFmtId="0" fontId="0" fillId="0" borderId="0" xfId="0" applyAlignment="1">
      <alignment horizontal="center" vertical="center"/>
    </xf>
    <xf numFmtId="0" fontId="8" fillId="0" borderId="0" xfId="0" applyFont="1"/>
    <xf numFmtId="164" fontId="9" fillId="0" borderId="0" xfId="0" applyNumberFormat="1" applyFont="1" applyAlignment="1">
      <alignment vertical="center"/>
    </xf>
    <xf numFmtId="0" fontId="9" fillId="0" borderId="0" xfId="0" applyFont="1" applyAlignment="1">
      <alignment vertical="center"/>
    </xf>
    <xf numFmtId="3" fontId="9" fillId="0" borderId="0" xfId="0" applyNumberFormat="1" applyFont="1" applyAlignment="1">
      <alignment vertical="center"/>
    </xf>
    <xf numFmtId="165" fontId="9" fillId="0" borderId="0" xfId="0" applyNumberFormat="1" applyFont="1" applyAlignment="1">
      <alignment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0" xfId="0" applyFont="1" applyAlignment="1">
      <alignment horizontal="left" vertical="center" wrapText="1"/>
    </xf>
    <xf numFmtId="0" fontId="5" fillId="0" borderId="9"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1" xfId="0" applyFont="1" applyBorder="1" applyAlignment="1">
      <alignment horizontal="left" vertical="center" wrapText="1"/>
    </xf>
    <xf numFmtId="0" fontId="5" fillId="0" borderId="10" xfId="0" applyFont="1" applyBorder="1" applyAlignment="1">
      <alignment horizontal="left" vertical="center" wrapText="1"/>
    </xf>
    <xf numFmtId="0" fontId="5" fillId="0" borderId="4" xfId="0" applyFont="1" applyBorder="1" applyAlignment="1">
      <alignment horizontal="left" vertical="center" wrapText="1"/>
    </xf>
    <xf numFmtId="0" fontId="7" fillId="4" borderId="10"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10" xfId="0" applyFont="1" applyFill="1" applyBorder="1" applyAlignment="1">
      <alignment horizontal="center" vertical="center"/>
    </xf>
    <xf numFmtId="0" fontId="7" fillId="4" borderId="0" xfId="0" applyFont="1" applyFill="1" applyAlignment="1">
      <alignment horizontal="center" vertical="center"/>
    </xf>
    <xf numFmtId="0" fontId="6" fillId="4" borderId="0" xfId="0" applyFont="1" applyFill="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7" fillId="4" borderId="5" xfId="0" applyFont="1" applyFill="1" applyBorder="1" applyAlignment="1">
      <alignment horizontal="center" vertical="center"/>
    </xf>
    <xf numFmtId="0" fontId="10" fillId="0" borderId="0" xfId="0" applyFont="1" applyAlignment="1">
      <alignment horizontal="left" vertical="center" wrapText="1"/>
    </xf>
  </cellXfs>
  <cellStyles count="1">
    <cellStyle name="Normal" xfId="0" builtinId="0"/>
  </cellStyles>
  <dxfs count="39">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3" formatCode="#,##0"/>
    </dxf>
    <dxf>
      <numFmt numFmtId="3" formatCode="#,##0"/>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3" formatCode="#,##0"/>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defaultTableStyle="TableStyleMedium2" defaultPivotStyle="PivotStyleLight16">
    <tableStyle name="Marketing_Funnel-style" pivot="0" count="4" xr9:uid="{BF214E93-0181-468A-9161-D4F0170432ED}">
      <tableStyleElement type="wholeTable" size="0" dxfId="38"/>
      <tableStyleElement type="headerRow" dxfId="37"/>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[P1_Marketing_Funnel.xlsx]ANALYSIS!PivotTable3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Social Commmerce yếu</a:t>
            </a:r>
            <a:r>
              <a:rPr lang="en-US" b="1" baseline="0">
                <a:latin typeface="Times New Roman" panose="02020603050405020304" pitchFamily="18" charset="0"/>
                <a:cs typeface="Times New Roman" panose="02020603050405020304" pitchFamily="18" charset="0"/>
              </a:rPr>
              <a:t> hơn ở mọi bước của phễu</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ATC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ANALYSIS!$A$14:$A$16</c:f>
              <c:strCache>
                <c:ptCount val="3"/>
                <c:pt idx="0">
                  <c:v>Marketplace</c:v>
                </c:pt>
                <c:pt idx="1">
                  <c:v>Social Commerce</c:v>
                </c:pt>
                <c:pt idx="2">
                  <c:v>Website</c:v>
                </c:pt>
              </c:strCache>
            </c:strRef>
          </c:cat>
          <c:val>
            <c:numRef>
              <c:f>ANALYSIS!$B$14:$B$16</c:f>
              <c:numCache>
                <c:formatCode>0.0%</c:formatCode>
                <c:ptCount val="3"/>
                <c:pt idx="0">
                  <c:v>0.29649028077753781</c:v>
                </c:pt>
                <c:pt idx="1">
                  <c:v>0.21606596289587107</c:v>
                </c:pt>
                <c:pt idx="2">
                  <c:v>0.24879552900366159</c:v>
                </c:pt>
              </c:numCache>
            </c:numRef>
          </c:val>
          <c:extLst>
            <c:ext xmlns:c16="http://schemas.microsoft.com/office/drawing/2014/chart" uri="{C3380CC4-5D6E-409C-BE32-E72D297353CC}">
              <c16:uniqueId val="{00000000-64DA-461D-96BE-F0E3AC62B1FB}"/>
            </c:ext>
          </c:extLst>
        </c:ser>
        <c:ser>
          <c:idx val="1"/>
          <c:order val="1"/>
          <c:tx>
            <c:strRef>
              <c:f>ANALYSIS!$C$13</c:f>
              <c:strCache>
                <c:ptCount val="1"/>
                <c:pt idx="0">
                  <c:v>Checkout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ANALYSIS!$A$14:$A$16</c:f>
              <c:strCache>
                <c:ptCount val="3"/>
                <c:pt idx="0">
                  <c:v>Marketplace</c:v>
                </c:pt>
                <c:pt idx="1">
                  <c:v>Social Commerce</c:v>
                </c:pt>
                <c:pt idx="2">
                  <c:v>Website</c:v>
                </c:pt>
              </c:strCache>
            </c:strRef>
          </c:cat>
          <c:val>
            <c:numRef>
              <c:f>ANALYSIS!$C$14:$C$16</c:f>
              <c:numCache>
                <c:formatCode>0.0%</c:formatCode>
                <c:ptCount val="3"/>
                <c:pt idx="0">
                  <c:v>0.65707521398652335</c:v>
                </c:pt>
                <c:pt idx="1">
                  <c:v>0.574298930326684</c:v>
                </c:pt>
                <c:pt idx="2">
                  <c:v>0.65733927188226182</c:v>
                </c:pt>
              </c:numCache>
            </c:numRef>
          </c:val>
          <c:extLst>
            <c:ext xmlns:c16="http://schemas.microsoft.com/office/drawing/2014/chart" uri="{C3380CC4-5D6E-409C-BE32-E72D297353CC}">
              <c16:uniqueId val="{00000001-64DA-461D-96BE-F0E3AC62B1FB}"/>
            </c:ext>
          </c:extLst>
        </c:ser>
        <c:ser>
          <c:idx val="2"/>
          <c:order val="2"/>
          <c:tx>
            <c:strRef>
              <c:f>ANALYSIS!$D$13</c:f>
              <c:strCache>
                <c:ptCount val="1"/>
                <c:pt idx="0">
                  <c:v>Order Completion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ANALYSIS!$A$14:$A$16</c:f>
              <c:strCache>
                <c:ptCount val="3"/>
                <c:pt idx="0">
                  <c:v>Marketplace</c:v>
                </c:pt>
                <c:pt idx="1">
                  <c:v>Social Commerce</c:v>
                </c:pt>
                <c:pt idx="2">
                  <c:v>Website</c:v>
                </c:pt>
              </c:strCache>
            </c:strRef>
          </c:cat>
          <c:val>
            <c:numRef>
              <c:f>ANALYSIS!$D$14:$D$16</c:f>
              <c:numCache>
                <c:formatCode>0.0%</c:formatCode>
                <c:ptCount val="3"/>
                <c:pt idx="0">
                  <c:v>0.7772542498152254</c:v>
                </c:pt>
                <c:pt idx="1">
                  <c:v>0.66498867354643842</c:v>
                </c:pt>
                <c:pt idx="2">
                  <c:v>0.72882604212697011</c:v>
                </c:pt>
              </c:numCache>
            </c:numRef>
          </c:val>
          <c:extLst>
            <c:ext xmlns:c16="http://schemas.microsoft.com/office/drawing/2014/chart" uri="{C3380CC4-5D6E-409C-BE32-E72D297353CC}">
              <c16:uniqueId val="{00000002-64DA-461D-96BE-F0E3AC62B1FB}"/>
            </c:ext>
          </c:extLst>
        </c:ser>
        <c:ser>
          <c:idx val="3"/>
          <c:order val="3"/>
          <c:tx>
            <c:strRef>
              <c:f>ANALYSIS!$E$13</c:f>
              <c:strCache>
                <c:ptCount val="1"/>
                <c:pt idx="0">
                  <c:v>Conversion 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ANALYSIS!$A$14:$A$16</c:f>
              <c:strCache>
                <c:ptCount val="3"/>
                <c:pt idx="0">
                  <c:v>Marketplace</c:v>
                </c:pt>
                <c:pt idx="1">
                  <c:v>Social Commerce</c:v>
                </c:pt>
                <c:pt idx="2">
                  <c:v>Website</c:v>
                </c:pt>
              </c:strCache>
            </c:strRef>
          </c:cat>
          <c:val>
            <c:numRef>
              <c:f>ANALYSIS!$E$14:$E$16</c:f>
              <c:numCache>
                <c:formatCode>0.0%</c:formatCode>
                <c:ptCount val="3"/>
                <c:pt idx="0">
                  <c:v>0.15142188624910008</c:v>
                </c:pt>
                <c:pt idx="1">
                  <c:v>8.2516084702354928E-2</c:v>
                </c:pt>
                <c:pt idx="2">
                  <c:v>0.11919444979764887</c:v>
                </c:pt>
              </c:numCache>
            </c:numRef>
          </c:val>
          <c:extLst>
            <c:ext xmlns:c16="http://schemas.microsoft.com/office/drawing/2014/chart" uri="{C3380CC4-5D6E-409C-BE32-E72D297353CC}">
              <c16:uniqueId val="{00000003-64DA-461D-96BE-F0E3AC62B1FB}"/>
            </c:ext>
          </c:extLst>
        </c:ser>
        <c:dLbls>
          <c:dLblPos val="outEnd"/>
          <c:showLegendKey val="0"/>
          <c:showVal val="1"/>
          <c:showCatName val="0"/>
          <c:showSerName val="0"/>
          <c:showPercent val="0"/>
          <c:showBubbleSize val="0"/>
        </c:dLbls>
        <c:gapWidth val="219"/>
        <c:overlap val="-27"/>
        <c:axId val="1302180880"/>
        <c:axId val="1417513456"/>
      </c:barChart>
      <c:catAx>
        <c:axId val="130218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13456"/>
        <c:crosses val="autoZero"/>
        <c:auto val="1"/>
        <c:lblAlgn val="ctr"/>
        <c:lblOffset val="100"/>
        <c:noMultiLvlLbl val="0"/>
      </c:catAx>
      <c:valAx>
        <c:axId val="14175134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8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[P1_Marketing_Funnel.xlsx]ANALYSIS!PivotTable10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c:f>
              <c:strCache>
                <c:ptCount val="1"/>
                <c:pt idx="0">
                  <c:v>Total</c:v>
                </c:pt>
              </c:strCache>
            </c:strRef>
          </c:tx>
          <c:spPr>
            <a:solidFill>
              <a:schemeClr val="accent1"/>
            </a:solidFill>
            <a:ln>
              <a:noFill/>
            </a:ln>
            <a:effectLst/>
          </c:spPr>
          <c:invertIfNegative val="0"/>
          <c:cat>
            <c:strRef>
              <c:f>ANALYSIS!$A$25:$A$31</c:f>
              <c:strCache>
                <c:ptCount val="7"/>
                <c:pt idx="0">
                  <c:v>Social Ads</c:v>
                </c:pt>
                <c:pt idx="1">
                  <c:v>Search Ads</c:v>
                </c:pt>
                <c:pt idx="2">
                  <c:v>Livestream Promo</c:v>
                </c:pt>
                <c:pt idx="3">
                  <c:v>Marketplace Ads</c:v>
                </c:pt>
                <c:pt idx="4">
                  <c:v>Seasonal Sale</c:v>
                </c:pt>
                <c:pt idx="5">
                  <c:v>Mega Campaign</c:v>
                </c:pt>
                <c:pt idx="6">
                  <c:v>Email CRM</c:v>
                </c:pt>
              </c:strCache>
            </c:strRef>
          </c:cat>
          <c:val>
            <c:numRef>
              <c:f>ANALYSIS!$B$25:$B$31</c:f>
              <c:numCache>
                <c:formatCode>#,##0</c:formatCode>
                <c:ptCount val="7"/>
                <c:pt idx="0">
                  <c:v>75634.14634146342</c:v>
                </c:pt>
                <c:pt idx="1">
                  <c:v>57382.207578253707</c:v>
                </c:pt>
                <c:pt idx="2">
                  <c:v>40115.902964959569</c:v>
                </c:pt>
                <c:pt idx="3">
                  <c:v>39855.038022813686</c:v>
                </c:pt>
                <c:pt idx="4">
                  <c:v>27019.154030327216</c:v>
                </c:pt>
                <c:pt idx="5">
                  <c:v>21066.629023150763</c:v>
                </c:pt>
                <c:pt idx="6">
                  <c:v>6410.9347442680773</c:v>
                </c:pt>
              </c:numCache>
            </c:numRef>
          </c:val>
          <c:extLst>
            <c:ext xmlns:c16="http://schemas.microsoft.com/office/drawing/2014/chart" uri="{C3380CC4-5D6E-409C-BE32-E72D297353CC}">
              <c16:uniqueId val="{00000000-85EA-49FD-AAD4-4C6F3605864C}"/>
            </c:ext>
          </c:extLst>
        </c:ser>
        <c:dLbls>
          <c:showLegendKey val="0"/>
          <c:showVal val="0"/>
          <c:showCatName val="0"/>
          <c:showSerName val="0"/>
          <c:showPercent val="0"/>
          <c:showBubbleSize val="0"/>
        </c:dLbls>
        <c:gapWidth val="182"/>
        <c:axId val="1190484623"/>
        <c:axId val="1187113679"/>
      </c:barChart>
      <c:catAx>
        <c:axId val="119048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13679"/>
        <c:crosses val="autoZero"/>
        <c:auto val="1"/>
        <c:lblAlgn val="ctr"/>
        <c:lblOffset val="100"/>
        <c:noMultiLvlLbl val="0"/>
      </c:catAx>
      <c:valAx>
        <c:axId val="11871136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_xlchart.v2.2</cx:f>
      </cx:strDim>
      <cx:numDim type="val">
        <cx:f dir="row">_xlchart.v2.3</cx:f>
      </cx:numDim>
    </cx:data>
  </cx:chartData>
  <cx:chart>
    <cx:title pos="t" align="ctr" overlay="0">
      <cx:tx>
        <cx:txData>
          <cx:v>Marketplace</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Times New Roman" panose="02020603050405020304" pitchFamily="18" charset="0"/>
              <a:cs typeface="Times New Roman" panose="02020603050405020304" pitchFamily="18" charset="0"/>
            </a:rPr>
            <a:t>Marketplace</a:t>
          </a:r>
        </a:p>
      </cx:txPr>
    </cx:title>
    <cx:plotArea>
      <cx:plotAreaRegion>
        <cx:series layoutId="funnel" uniqueId="{00000000-CD8C-43EB-8184-ADC86C107A7E}">
          <cx:dataLabels>
            <cx:visibility seriesName="0" categoryName="0" value="1"/>
          </cx:dataLabels>
          <cx:dataId val="0"/>
        </cx:series>
      </cx:plotAreaRegion>
      <cx:axis id="0">
        <cx:catScaling gapWidth="0.0599999987"/>
        <cx:tickLabels/>
      </cx:axis>
    </cx:plotArea>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_xlchart.v2.4</cx:f>
      </cx:strDim>
      <cx:numDim type="val">
        <cx:f dir="row">_xlchart.v2.5</cx:f>
      </cx:numDim>
    </cx:data>
  </cx:chartData>
  <cx:chart>
    <cx:title pos="t" align="ctr" overlay="0">
      <cx:tx>
        <cx:txData>
          <cx:v>Social Commerce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rlito"/>
            </a:rPr>
            <a:t>Social Commerce</a:t>
          </a:r>
        </a:p>
      </cx:txPr>
    </cx:title>
    <cx:plotArea>
      <cx:plotAreaRegion>
        <cx:series layoutId="funnel" uniqueId="{60922B12-98EE-44DA-B1D2-7B1E8177E074}">
          <cx:dataLabels>
            <cx:visibility seriesName="0" categoryName="0" value="1"/>
          </cx:dataLabels>
          <cx:dataId val="0"/>
        </cx:series>
      </cx:plotAreaRegion>
      <cx:axis id="0">
        <cx:catScaling gapWidth="0.0599999987"/>
        <cx:tickLabels/>
      </cx:axis>
    </cx:plotArea>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tx>
        <cx:txData>
          <cx:v>Website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rlito"/>
            </a:rPr>
            <a:t>Website</a:t>
          </a:r>
        </a:p>
      </cx:txPr>
    </cx:title>
    <cx:plotArea>
      <cx:plotAreaRegion>
        <cx:series layoutId="funnel" uniqueId="{EB9B6B1C-6C6F-48E7-B06F-AD80ECD02B01}">
          <cx:dataLabels>
            <cx:visibility seriesName="0" categoryName="0" value="1"/>
          </cx:dataLabels>
          <cx:dataId val="0"/>
        </cx:series>
      </cx:plotAreaRegion>
      <cx:axis id="0">
        <cx:catScaling gapWidth="0.0599999987"/>
        <cx:tickLabels/>
      </cx:axis>
    </cx:plotArea>
  </cx:chart>
  <cx:spPr>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2.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5444</xdr:rowOff>
    </xdr:from>
    <xdr:to>
      <xdr:col>8</xdr:col>
      <xdr:colOff>322943</xdr:colOff>
      <xdr:row>26</xdr:row>
      <xdr:rowOff>9072</xdr:rowOff>
    </xdr:to>
    <xdr:graphicFrame macro="">
      <xdr:nvGraphicFramePr>
        <xdr:cNvPr id="2" name="Chart 1">
          <a:extLst>
            <a:ext uri="{FF2B5EF4-FFF2-40B4-BE49-F238E27FC236}">
              <a16:creationId xmlns:a16="http://schemas.microsoft.com/office/drawing/2014/main" id="{94E1DD3F-37C6-2FA9-ABAE-1FF79F70B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9071</xdr:colOff>
      <xdr:row>2</xdr:row>
      <xdr:rowOff>175080</xdr:rowOff>
    </xdr:from>
    <xdr:to>
      <xdr:col>13</xdr:col>
      <xdr:colOff>399144</xdr:colOff>
      <xdr:row>22</xdr:row>
      <xdr:rowOff>145142</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8154AF9A-BFE1-6A0D-F362-F834078C96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52671" y="721180"/>
              <a:ext cx="3031673" cy="35260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589642</xdr:colOff>
      <xdr:row>3</xdr:row>
      <xdr:rowOff>2721</xdr:rowOff>
    </xdr:from>
    <xdr:to>
      <xdr:col>18</xdr:col>
      <xdr:colOff>344715</xdr:colOff>
      <xdr:row>22</xdr:row>
      <xdr:rowOff>136070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BC4B28C9-0AB5-CC87-70B4-B8DDD066DD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174842" y="726621"/>
              <a:ext cx="3057073" cy="35115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580571</xdr:colOff>
      <xdr:row>3</xdr:row>
      <xdr:rowOff>2720</xdr:rowOff>
    </xdr:from>
    <xdr:to>
      <xdr:col>23</xdr:col>
      <xdr:colOff>181427</xdr:colOff>
      <xdr:row>22</xdr:row>
      <xdr:rowOff>126998</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994D3F1F-06E6-3FD7-CE0B-7AAD5435E8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467771" y="726620"/>
              <a:ext cx="2902856" cy="35024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607787</xdr:colOff>
      <xdr:row>3</xdr:row>
      <xdr:rowOff>29935</xdr:rowOff>
    </xdr:from>
    <xdr:to>
      <xdr:col>33</xdr:col>
      <xdr:colOff>635000</xdr:colOff>
      <xdr:row>24</xdr:row>
      <xdr:rowOff>158750</xdr:rowOff>
    </xdr:to>
    <xdr:graphicFrame macro="">
      <xdr:nvGraphicFramePr>
        <xdr:cNvPr id="6" name="Chart 5">
          <a:extLst>
            <a:ext uri="{FF2B5EF4-FFF2-40B4-BE49-F238E27FC236}">
              <a16:creationId xmlns:a16="http://schemas.microsoft.com/office/drawing/2014/main" id="{67B58FA9-9A10-A89B-B1F1-4B4793005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36285</xdr:colOff>
      <xdr:row>28</xdr:row>
      <xdr:rowOff>9072</xdr:rowOff>
    </xdr:from>
    <xdr:to>
      <xdr:col>23</xdr:col>
      <xdr:colOff>235857</xdr:colOff>
      <xdr:row>40</xdr:row>
      <xdr:rowOff>81643</xdr:rowOff>
    </xdr:to>
    <xdr:sp macro="" textlink="">
      <xdr:nvSpPr>
        <xdr:cNvPr id="7" name="TextBox 6">
          <a:extLst>
            <a:ext uri="{FF2B5EF4-FFF2-40B4-BE49-F238E27FC236}">
              <a16:creationId xmlns:a16="http://schemas.microsoft.com/office/drawing/2014/main" id="{07963BED-A083-396B-2985-79E239B4EA40}"/>
            </a:ext>
          </a:extLst>
        </xdr:cNvPr>
        <xdr:cNvSpPr txBox="1"/>
      </xdr:nvSpPr>
      <xdr:spPr>
        <a:xfrm>
          <a:off x="36285" y="5197929"/>
          <a:ext cx="15430501" cy="2249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vi-VN" sz="1400" b="1">
              <a:latin typeface="Times New Roman" panose="02020603050405020304" pitchFamily="18" charset="0"/>
              <a:cs typeface="Times New Roman" panose="02020603050405020304" pitchFamily="18" charset="0"/>
            </a:rPr>
            <a:t>PHÁT HIỆN</a:t>
          </a:r>
        </a:p>
        <a:p>
          <a:pPr algn="l"/>
          <a:r>
            <a:rPr lang="vi-VN" sz="1400">
              <a:latin typeface="Times New Roman" panose="02020603050405020304" pitchFamily="18" charset="0"/>
              <a:cs typeface="Times New Roman" panose="02020603050405020304" pitchFamily="18" charset="0"/>
            </a:rPr>
            <a:t>Social Commerce có tỷ lệ chuyển đổi (CVR) thấp nhất trong 3 kênh,</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chỉ 8,3% so với 15,1% của Marketplace — gần bằng một nửa. Khoảng</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cách này xuất hiện dần ở cả 3 bước của phễu, không phải chỉ một</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bước duy nhất: ATC Rate thấp hơn (21,6% so với 29,6%),</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Checkout</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Rate cũng thấp hơn (57,4% so với 65,7%).</a:t>
          </a:r>
        </a:p>
        <a:p>
          <a:pPr algn="l"/>
          <a:endParaRPr lang="vi-VN" sz="1400">
            <a:latin typeface="Times New Roman" panose="02020603050405020304" pitchFamily="18" charset="0"/>
            <a:cs typeface="Times New Roman" panose="02020603050405020304" pitchFamily="18" charset="0"/>
          </a:endParaRPr>
        </a:p>
        <a:p>
          <a:pPr algn="l"/>
          <a:r>
            <a:rPr lang="vi-VN" sz="1400" b="1">
              <a:latin typeface="Times New Roman" panose="02020603050405020304" pitchFamily="18" charset="0"/>
              <a:cs typeface="Times New Roman" panose="02020603050405020304" pitchFamily="18" charset="0"/>
            </a:rPr>
            <a:t>NGUYÊN NHÂN CÓ THỂ</a:t>
          </a:r>
        </a:p>
        <a:p>
          <a:pPr algn="l"/>
          <a:r>
            <a:rPr lang="vi-VN" sz="1400">
              <a:latin typeface="Times New Roman" panose="02020603050405020304" pitchFamily="18" charset="0"/>
              <a:cs typeface="Times New Roman" panose="02020603050405020304" pitchFamily="18" charset="0"/>
            </a:rPr>
            <a:t>Khách vào từ mạng xã hội thường đang lướt xem giải trí, chưa có</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ý định mua ngay, khác với khách chủ động tìm trên Marketplace.</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Ngoài ra trải nghiệm thanh toán từ app mạng xã hội có thể rườm rà</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hơn (chuyển sang app khác, nhập lại thông tin).</a:t>
          </a:r>
        </a:p>
        <a:p>
          <a:pPr algn="l"/>
          <a:endParaRPr lang="vi-VN" sz="1400">
            <a:latin typeface="Times New Roman" panose="02020603050405020304" pitchFamily="18" charset="0"/>
            <a:cs typeface="Times New Roman" panose="02020603050405020304" pitchFamily="18" charset="0"/>
          </a:endParaRPr>
        </a:p>
        <a:p>
          <a:pPr algn="l"/>
          <a:r>
            <a:rPr lang="vi-VN" sz="1400" b="1">
              <a:latin typeface="Times New Roman" panose="02020603050405020304" pitchFamily="18" charset="0"/>
              <a:cs typeface="Times New Roman" panose="02020603050405020304" pitchFamily="18" charset="0"/>
            </a:rPr>
            <a:t>ĐỀ XUẤT</a:t>
          </a:r>
        </a:p>
        <a:p>
          <a:pPr algn="l"/>
          <a:r>
            <a:rPr lang="vi-VN" sz="1400">
              <a:latin typeface="Times New Roman" panose="02020603050405020304" pitchFamily="18" charset="0"/>
              <a:cs typeface="Times New Roman" panose="02020603050405020304" pitchFamily="18" charset="0"/>
            </a:rPr>
            <a:t>Với Social Commerce, ưu tiên nội dung/ưu đãi thúc đẩy thêm giỏ</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hàng ngay trong lúc xem (ví dụ flash sale, livestream), thay vì</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kỳ vọng chuyển đổi ngay như kênh có ý định mua sẵn (Marketplace).</a:t>
          </a:r>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23</xdr:col>
      <xdr:colOff>644071</xdr:colOff>
      <xdr:row>28</xdr:row>
      <xdr:rowOff>0</xdr:rowOff>
    </xdr:from>
    <xdr:to>
      <xdr:col>34</xdr:col>
      <xdr:colOff>99785</xdr:colOff>
      <xdr:row>43</xdr:row>
      <xdr:rowOff>172358</xdr:rowOff>
    </xdr:to>
    <xdr:sp macro="" textlink="">
      <xdr:nvSpPr>
        <xdr:cNvPr id="9" name="TextBox 8">
          <a:extLst>
            <a:ext uri="{FF2B5EF4-FFF2-40B4-BE49-F238E27FC236}">
              <a16:creationId xmlns:a16="http://schemas.microsoft.com/office/drawing/2014/main" id="{F73407C3-BFAC-0245-2CAB-1C5623CB1CBC}"/>
            </a:ext>
          </a:extLst>
        </xdr:cNvPr>
        <xdr:cNvSpPr txBox="1"/>
      </xdr:nvSpPr>
      <xdr:spPr>
        <a:xfrm>
          <a:off x="15875000" y="5415643"/>
          <a:ext cx="6740071" cy="2893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400" b="1">
              <a:latin typeface="Times New Roman" panose="02020603050405020304" pitchFamily="18" charset="0"/>
              <a:cs typeface="Times New Roman" panose="02020603050405020304" pitchFamily="18" charset="0"/>
            </a:rPr>
            <a:t>PHÁT HIỆN</a:t>
          </a:r>
        </a:p>
        <a:p>
          <a:r>
            <a:rPr lang="vi-VN" sz="1400">
              <a:latin typeface="Times New Roman" panose="02020603050405020304" pitchFamily="18" charset="0"/>
              <a:cs typeface="Times New Roman" panose="02020603050405020304" pitchFamily="18" charset="0"/>
            </a:rPr>
            <a:t>Social Ads có chi phí trên mỗi đơn (CPO) cao nhất, khoảng 75.600đ,</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gấp gần 12 lần Email CRM (khoảng 6.400đ) — mức chênh lệch lớn nhất</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trong toàn bộ các campaign trả phí.</a:t>
          </a:r>
        </a:p>
        <a:p>
          <a:endParaRPr lang="vi-VN" sz="1400">
            <a:latin typeface="Times New Roman" panose="02020603050405020304" pitchFamily="18" charset="0"/>
            <a:cs typeface="Times New Roman" panose="02020603050405020304" pitchFamily="18" charset="0"/>
          </a:endParaRPr>
        </a:p>
        <a:p>
          <a:r>
            <a:rPr lang="vi-VN" sz="1400" b="1">
              <a:latin typeface="Times New Roman" panose="02020603050405020304" pitchFamily="18" charset="0"/>
              <a:cs typeface="Times New Roman" panose="02020603050405020304" pitchFamily="18" charset="0"/>
            </a:rPr>
            <a:t>NGUYÊN NHÂN CÓ THỂ</a:t>
          </a:r>
        </a:p>
        <a:p>
          <a:r>
            <a:rPr lang="vi-VN" sz="1400">
              <a:latin typeface="Times New Roman" panose="02020603050405020304" pitchFamily="18" charset="0"/>
              <a:cs typeface="Times New Roman" panose="02020603050405020304" pitchFamily="18" charset="0"/>
            </a:rPr>
            <a:t>Email CRM nhắm đến khách hàng đã có trong hệ thống (đã từng mua/đăng ký), vốn dễ chuyển đổi hơn và không tốn chi phí "tìm khách</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lạ". Social Ads phải trả tiền để tiếp cận người chưa biết đến</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thương hiệu, nên chi phí trên mỗi đơn tự nhiên cao hơn.</a:t>
          </a:r>
        </a:p>
        <a:p>
          <a:endParaRPr lang="vi-VN" sz="1400">
            <a:latin typeface="Times New Roman" panose="02020603050405020304" pitchFamily="18" charset="0"/>
            <a:cs typeface="Times New Roman" panose="02020603050405020304" pitchFamily="18" charset="0"/>
          </a:endParaRPr>
        </a:p>
        <a:p>
          <a:r>
            <a:rPr lang="vi-VN" sz="1400" b="1">
              <a:latin typeface="Times New Roman" panose="02020603050405020304" pitchFamily="18" charset="0"/>
              <a:cs typeface="Times New Roman" panose="02020603050405020304" pitchFamily="18" charset="0"/>
            </a:rPr>
            <a:t>ĐỀ XUẤT</a:t>
          </a:r>
        </a:p>
        <a:p>
          <a:r>
            <a:rPr lang="vi-VN" sz="1400">
              <a:latin typeface="Times New Roman" panose="02020603050405020304" pitchFamily="18" charset="0"/>
              <a:cs typeface="Times New Roman" panose="02020603050405020304" pitchFamily="18" charset="0"/>
            </a:rPr>
            <a:t>Không nên cắt hoàn toàn Social Ads (vẫn cần kênh tìm khách mới),</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nhưng nên tăng tỷ trọng ngân sách cho Email CRM với tệp khách cũ,</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và cân nhắc thử nghiệm A/B để giảm CPO của Social Ads trước khi</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tăng chi tiêu thêm.</a:t>
          </a:r>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47</xdr:row>
      <xdr:rowOff>152400</xdr:rowOff>
    </xdr:from>
    <xdr:to>
      <xdr:col>34</xdr:col>
      <xdr:colOff>101600</xdr:colOff>
      <xdr:row>60</xdr:row>
      <xdr:rowOff>12700</xdr:rowOff>
    </xdr:to>
    <xdr:sp macro="" textlink="">
      <xdr:nvSpPr>
        <xdr:cNvPr id="10" name="TextBox 9">
          <a:extLst>
            <a:ext uri="{FF2B5EF4-FFF2-40B4-BE49-F238E27FC236}">
              <a16:creationId xmlns:a16="http://schemas.microsoft.com/office/drawing/2014/main" id="{0F71D75F-3EAF-F90C-E21C-D9B675A785AF}"/>
            </a:ext>
          </a:extLst>
        </xdr:cNvPr>
        <xdr:cNvSpPr txBox="1"/>
      </xdr:nvSpPr>
      <xdr:spPr>
        <a:xfrm>
          <a:off x="0" y="8851900"/>
          <a:ext cx="22555200" cy="217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vi-VN" sz="1400" b="1">
              <a:latin typeface="Times New Roman" panose="02020603050405020304" pitchFamily="18" charset="0"/>
              <a:cs typeface="Times New Roman" panose="02020603050405020304" pitchFamily="18" charset="0"/>
            </a:rPr>
            <a:t>PHÁT HIỆN</a:t>
          </a:r>
        </a:p>
        <a:p>
          <a:r>
            <a:rPr lang="vi-VN" sz="1400">
              <a:latin typeface="Times New Roman" panose="02020603050405020304" pitchFamily="18" charset="0"/>
              <a:cs typeface="Times New Roman" panose="02020603050405020304" pitchFamily="18" charset="0"/>
            </a:rPr>
            <a:t>Xét toàn hệ thống, tỷ lệ chuyển đổi trung bình là 12,4%, với mức</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rơi lớn nhất ở bước Visit → Add to Cart (73,9% khách rời đi ngay</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ở bước này, tính trung bình 3 kênh).</a:t>
          </a:r>
        </a:p>
        <a:p>
          <a:endParaRPr lang="vi-VN" sz="1400">
            <a:latin typeface="Times New Roman" panose="02020603050405020304" pitchFamily="18" charset="0"/>
            <a:cs typeface="Times New Roman" panose="02020603050405020304" pitchFamily="18" charset="0"/>
          </a:endParaRPr>
        </a:p>
        <a:p>
          <a:r>
            <a:rPr lang="vi-VN" sz="1400" b="1">
              <a:latin typeface="Times New Roman" panose="02020603050405020304" pitchFamily="18" charset="0"/>
              <a:cs typeface="Times New Roman" panose="02020603050405020304" pitchFamily="18" charset="0"/>
            </a:rPr>
            <a:t>NGUYÊN NHÂN CÓ THỂ</a:t>
          </a:r>
        </a:p>
        <a:p>
          <a:r>
            <a:rPr lang="vi-VN" sz="1400">
              <a:latin typeface="Times New Roman" panose="02020603050405020304" pitchFamily="18" charset="0"/>
              <a:cs typeface="Times New Roman" panose="02020603050405020304" pitchFamily="18" charset="0"/>
            </a:rPr>
            <a:t>Đây là bước đầu tiên và tự nhiên luôn mất nhiều khách nhất về số</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tuyệt đối ở mọi phễu, nên chưa thể kết luận đây là "vấn đề", cần</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so sánh thêm với benchmark ngành để biết mức rơi này bình thường</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hay bất thường.</a:t>
          </a:r>
        </a:p>
        <a:p>
          <a:endParaRPr lang="vi-VN" sz="1400">
            <a:latin typeface="Times New Roman" panose="02020603050405020304" pitchFamily="18" charset="0"/>
            <a:cs typeface="Times New Roman" panose="02020603050405020304" pitchFamily="18" charset="0"/>
          </a:endParaRPr>
        </a:p>
        <a:p>
          <a:r>
            <a:rPr lang="vi-VN" sz="1400" b="1">
              <a:latin typeface="Times New Roman" panose="02020603050405020304" pitchFamily="18" charset="0"/>
              <a:cs typeface="Times New Roman" panose="02020603050405020304" pitchFamily="18" charset="0"/>
            </a:rPr>
            <a:t>GIỚI HẠN</a:t>
          </a:r>
        </a:p>
        <a:p>
          <a:r>
            <a:rPr lang="vi-VN" sz="1400">
              <a:latin typeface="Times New Roman" panose="02020603050405020304" pitchFamily="18" charset="0"/>
              <a:cs typeface="Times New Roman" panose="02020603050405020304" pitchFamily="18" charset="0"/>
            </a:rPr>
            <a:t>Dữ liệu chỉ có 3 kênh digital (không có Store), tổng hợp theo</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tuần nên không phân tích được hành vi từng khách hàng cụ thể, và</a:t>
          </a:r>
          <a:r>
            <a:rPr lang="en-US" sz="1400" baseline="0">
              <a:latin typeface="Times New Roman" panose="02020603050405020304" pitchFamily="18" charset="0"/>
              <a:cs typeface="Times New Roman" panose="02020603050405020304" pitchFamily="18" charset="0"/>
            </a:rPr>
            <a:t> </a:t>
          </a:r>
          <a:r>
            <a:rPr lang="vi-VN" sz="1400">
              <a:latin typeface="Times New Roman" panose="02020603050405020304" pitchFamily="18" charset="0"/>
              <a:cs typeface="Times New Roman" panose="02020603050405020304" pitchFamily="18" charset="0"/>
            </a:rPr>
            <a:t>không có dữ liệu giá trị đơn hàng để tính ROI thực sự.</a:t>
          </a:r>
          <a:endParaRPr lang="en-US" sz="14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EN" refreshedDate="46294.354744444441" createdVersion="8" refreshedVersion="8" minRefreshableVersion="3" recordCount="156" xr:uid="{322C9452-117B-4E0F-9181-4AD86D1E3B8E}">
  <cacheSource type="worksheet">
    <worksheetSource name="MarketingFunnelTable"/>
  </cacheSource>
  <cacheFields count="17">
    <cacheField name="Week_Start" numFmtId="164">
      <sharedItems containsSemiMixedTypes="0" containsNonDate="0" containsDate="1" containsString="0" minDate="2025-01-06T00:00:00" maxDate="2025-12-30T00:00:00"/>
    </cacheField>
    <cacheField name="Channel" numFmtId="0">
      <sharedItems count="3">
        <s v="Website"/>
        <s v="Marketplace"/>
        <s v="Social Commerce"/>
      </sharedItems>
    </cacheField>
    <cacheField name="Campaign" numFmtId="0">
      <sharedItems count="10">
        <s v="Email CRM"/>
        <s v="Marketplace Organic"/>
        <s v="Social Organic"/>
        <s v="Search Ads"/>
        <s v="Marketplace Ads"/>
        <s v="Social Ads"/>
        <s v="Organic"/>
        <s v="Seasonal Sale"/>
        <s v="Mega Campaign"/>
        <s v="Livestream Promo"/>
      </sharedItems>
    </cacheField>
    <cacheField name="Visits" numFmtId="0">
      <sharedItems containsSemiMixedTypes="0" containsString="0" containsNumber="1" containsInteger="1" minValue="263" maxValue="1543"/>
    </cacheField>
    <cacheField name="Add_to_Cart" numFmtId="0">
      <sharedItems containsSemiMixedTypes="0" containsString="0" containsNumber="1" containsInteger="1" minValue="50" maxValue="471"/>
    </cacheField>
    <cacheField name="Checkout" numFmtId="0">
      <sharedItems containsSemiMixedTypes="0" containsString="0" containsNumber="1" containsInteger="1" minValue="27" maxValue="325"/>
    </cacheField>
    <cacheField name="Orders" numFmtId="0">
      <sharedItems containsSemiMixedTypes="0" containsString="0" containsNumber="1" containsInteger="1" minValue="17" maxValue="257"/>
    </cacheField>
    <cacheField name="Ad_Spend" numFmtId="3">
      <sharedItems containsSemiMixedTypes="0" containsString="0" containsNumber="1" containsInteger="1" minValue="0" maxValue="10391000"/>
    </cacheField>
    <cacheField name="ATC_Rate" numFmtId="165">
      <sharedItems containsSemiMixedTypes="0" containsString="0" containsNumber="1" minValue="0.17073170731707318" maxValue="0.34427767354596622"/>
    </cacheField>
    <cacheField name="Checkout_Rate" numFmtId="165">
      <sharedItems containsSemiMixedTypes="0" containsString="0" containsNumber="1" minValue="0.52800000000000002" maxValue="0.7235494880546075"/>
    </cacheField>
    <cacheField name="Conversion_Rate" numFmtId="165">
      <sharedItems containsSemiMixedTypes="0" containsString="0" containsNumber="1" minValue="5.8536585365853662E-2" maxValue="0.17624521072796934"/>
    </cacheField>
    <cacheField name="Cost_per_Order" numFmtId="3">
      <sharedItems containsSemiMixedTypes="0" containsString="0" containsNumber="1" minValue="0" maxValue="97113.636363636368"/>
    </cacheField>
    <cacheField name="ATC_pct" numFmtId="0" formula="Add_to_Cart/Visits" databaseField="0"/>
    <cacheField name="Checkout_pct" numFmtId="0" formula="Checkout/Add_to_Cart" databaseField="0"/>
    <cacheField name="Complete_pct" numFmtId="0" formula="Orders/Checkout" databaseField="0"/>
    <cacheField name="CVR_pct" numFmtId="0" formula="Orders/Visits" databaseField="0"/>
    <cacheField name="CPO_calc" numFmtId="0" formula="Ad_Spend/Order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d v="2025-01-06T00:00:00"/>
    <x v="0"/>
    <x v="0"/>
    <n v="518"/>
    <n v="120"/>
    <n v="81"/>
    <n v="64"/>
    <n v="351000"/>
    <n v="0.23166023166023167"/>
    <n v="0.67500000000000004"/>
    <n v="0.12355212355212356"/>
    <n v="5484.375"/>
  </r>
  <r>
    <d v="2025-01-06T00:00:00"/>
    <x v="1"/>
    <x v="1"/>
    <n v="621"/>
    <n v="188"/>
    <n v="116"/>
    <n v="90"/>
    <n v="0"/>
    <n v="0.30273752012882449"/>
    <n v="0.61702127659574468"/>
    <n v="0.14492753623188406"/>
    <n v="0"/>
  </r>
  <r>
    <d v="2025-01-06T00:00:00"/>
    <x v="2"/>
    <x v="2"/>
    <n v="390"/>
    <n v="83"/>
    <n v="50"/>
    <n v="33"/>
    <n v="0"/>
    <n v="0.21282051282051281"/>
    <n v="0.60240963855421692"/>
    <n v="8.461538461538462E-2"/>
    <n v="0"/>
  </r>
  <r>
    <d v="2025-01-13T00:00:00"/>
    <x v="0"/>
    <x v="3"/>
    <n v="696"/>
    <n v="135"/>
    <n v="84"/>
    <n v="62"/>
    <n v="3412000"/>
    <n v="0.19396551724137931"/>
    <n v="0.62222222222222223"/>
    <n v="8.9080459770114945E-2"/>
    <n v="55032.258064516129"/>
  </r>
  <r>
    <d v="2025-01-13T00:00:00"/>
    <x v="1"/>
    <x v="4"/>
    <n v="911"/>
    <n v="267"/>
    <n v="173"/>
    <n v="137"/>
    <n v="4602000"/>
    <n v="0.29308452250274425"/>
    <n v="0.64794007490636707"/>
    <n v="0.150384193194292"/>
    <n v="33591.240875912408"/>
  </r>
  <r>
    <d v="2025-01-13T00:00:00"/>
    <x v="2"/>
    <x v="5"/>
    <n v="581"/>
    <n v="119"/>
    <n v="69"/>
    <n v="47"/>
    <n v="3979000"/>
    <n v="0.20481927710843373"/>
    <n v="0.57983193277310929"/>
    <n v="8.0895008605851984E-2"/>
    <n v="84659.574468085106"/>
  </r>
  <r>
    <d v="2025-01-20T00:00:00"/>
    <x v="0"/>
    <x v="6"/>
    <n v="723"/>
    <n v="159"/>
    <n v="102"/>
    <n v="71"/>
    <n v="0"/>
    <n v="0.21991701244813278"/>
    <n v="0.64150943396226412"/>
    <n v="9.8201936376210233E-2"/>
    <n v="0"/>
  </r>
  <r>
    <d v="2025-01-20T00:00:00"/>
    <x v="1"/>
    <x v="1"/>
    <n v="632"/>
    <n v="162"/>
    <n v="109"/>
    <n v="85"/>
    <n v="0"/>
    <n v="0.25632911392405061"/>
    <n v="0.6728395061728395"/>
    <n v="0.13449367088607594"/>
    <n v="0"/>
  </r>
  <r>
    <d v="2025-01-20T00:00:00"/>
    <x v="2"/>
    <x v="2"/>
    <n v="319"/>
    <n v="65"/>
    <n v="37"/>
    <n v="23"/>
    <n v="0"/>
    <n v="0.20376175548589343"/>
    <n v="0.56923076923076921"/>
    <n v="7.2100313479623826E-2"/>
    <n v="0"/>
  </r>
  <r>
    <d v="2025-01-27T00:00:00"/>
    <x v="0"/>
    <x v="7"/>
    <n v="1019"/>
    <n v="287"/>
    <n v="182"/>
    <n v="128"/>
    <n v="3216000"/>
    <n v="0.28164867517173697"/>
    <n v="0.63414634146341464"/>
    <n v="0.12561334641805691"/>
    <n v="25125"/>
  </r>
  <r>
    <d v="2025-01-27T00:00:00"/>
    <x v="1"/>
    <x v="1"/>
    <n v="790"/>
    <n v="233"/>
    <n v="148"/>
    <n v="115"/>
    <n v="0"/>
    <n v="0.29493670886075951"/>
    <n v="0.63519313304721026"/>
    <n v="0.14556962025316456"/>
    <n v="0"/>
  </r>
  <r>
    <d v="2025-01-27T00:00:00"/>
    <x v="2"/>
    <x v="5"/>
    <n v="573"/>
    <n v="135"/>
    <n v="81"/>
    <n v="56"/>
    <n v="4035000"/>
    <n v="0.2356020942408377"/>
    <n v="0.6"/>
    <n v="9.7731239092495634E-2"/>
    <n v="72053.571428571435"/>
  </r>
  <r>
    <d v="2025-02-03T00:00:00"/>
    <x v="0"/>
    <x v="7"/>
    <n v="856"/>
    <n v="228"/>
    <n v="148"/>
    <n v="109"/>
    <n v="3851000"/>
    <n v="0.26635514018691586"/>
    <n v="0.64912280701754388"/>
    <n v="0.12733644859813084"/>
    <n v="35330.275229357801"/>
  </r>
  <r>
    <d v="2025-02-03T00:00:00"/>
    <x v="1"/>
    <x v="1"/>
    <n v="798"/>
    <n v="219"/>
    <n v="149"/>
    <n v="116"/>
    <n v="0"/>
    <n v="0.27443609022556392"/>
    <n v="0.68036529680365299"/>
    <n v="0.14536340852130325"/>
    <n v="0"/>
  </r>
  <r>
    <d v="2025-02-03T00:00:00"/>
    <x v="2"/>
    <x v="5"/>
    <n v="562"/>
    <n v="97"/>
    <n v="55"/>
    <n v="36"/>
    <n v="3190000"/>
    <n v="0.17259786476868327"/>
    <n v="0.5670103092783505"/>
    <n v="6.4056939501779361E-2"/>
    <n v="88611.111111111109"/>
  </r>
  <r>
    <d v="2025-02-10T00:00:00"/>
    <x v="0"/>
    <x v="3"/>
    <n v="788"/>
    <n v="170"/>
    <n v="113"/>
    <n v="81"/>
    <n v="5449000"/>
    <n v="0.21573604060913706"/>
    <n v="0.66470588235294115"/>
    <n v="0.10279187817258884"/>
    <n v="67271.604938271601"/>
  </r>
  <r>
    <d v="2025-02-10T00:00:00"/>
    <x v="1"/>
    <x v="1"/>
    <n v="720"/>
    <n v="209"/>
    <n v="133"/>
    <n v="105"/>
    <n v="0"/>
    <n v="0.2902777777777778"/>
    <n v="0.63636363636363635"/>
    <n v="0.14583333333333334"/>
    <n v="0"/>
  </r>
  <r>
    <d v="2025-02-10T00:00:00"/>
    <x v="2"/>
    <x v="5"/>
    <n v="532"/>
    <n v="112"/>
    <n v="63"/>
    <n v="43"/>
    <n v="2886000"/>
    <n v="0.21052631578947367"/>
    <n v="0.5625"/>
    <n v="8.0827067669172928E-2"/>
    <n v="67116.279069767435"/>
  </r>
  <r>
    <d v="2025-02-17T00:00:00"/>
    <x v="0"/>
    <x v="3"/>
    <n v="647"/>
    <n v="165"/>
    <n v="106"/>
    <n v="76"/>
    <n v="3143000"/>
    <n v="0.25502318392581141"/>
    <n v="0.64242424242424245"/>
    <n v="0.11746522411128284"/>
    <n v="41355.26315789474"/>
  </r>
  <r>
    <d v="2025-02-17T00:00:00"/>
    <x v="1"/>
    <x v="8"/>
    <n v="1066"/>
    <n v="367"/>
    <n v="241"/>
    <n v="187"/>
    <n v="3730000"/>
    <n v="0.34427767354596622"/>
    <n v="0.65667574931880113"/>
    <n v="0.17542213883677299"/>
    <n v="19946.524064171124"/>
  </r>
  <r>
    <d v="2025-02-17T00:00:00"/>
    <x v="2"/>
    <x v="2"/>
    <n v="434"/>
    <n v="86"/>
    <n v="48"/>
    <n v="33"/>
    <n v="0"/>
    <n v="0.19815668202764977"/>
    <n v="0.55813953488372092"/>
    <n v="7.6036866359447008E-2"/>
    <n v="0"/>
  </r>
  <r>
    <d v="2025-02-24T00:00:00"/>
    <x v="0"/>
    <x v="0"/>
    <n v="397"/>
    <n v="106"/>
    <n v="70"/>
    <n v="55"/>
    <n v="310000"/>
    <n v="0.26700251889168763"/>
    <n v="0.660377358490566"/>
    <n v="0.1385390428211587"/>
    <n v="5636.363636363636"/>
  </r>
  <r>
    <d v="2025-02-24T00:00:00"/>
    <x v="1"/>
    <x v="8"/>
    <n v="1092"/>
    <n v="350"/>
    <n v="222"/>
    <n v="165"/>
    <n v="3783000"/>
    <n v="0.32051282051282054"/>
    <n v="0.63428571428571423"/>
    <n v="0.15109890109890109"/>
    <n v="22927.272727272728"/>
  </r>
  <r>
    <d v="2025-02-24T00:00:00"/>
    <x v="2"/>
    <x v="5"/>
    <n v="616"/>
    <n v="122"/>
    <n v="73"/>
    <n v="50"/>
    <n v="3840000"/>
    <n v="0.19805194805194806"/>
    <n v="0.59836065573770492"/>
    <n v="8.1168831168831168E-2"/>
    <n v="76800"/>
  </r>
  <r>
    <d v="2025-03-03T00:00:00"/>
    <x v="0"/>
    <x v="0"/>
    <n v="522"/>
    <n v="162"/>
    <n v="116"/>
    <n v="92"/>
    <n v="464000"/>
    <n v="0.31034482758620691"/>
    <n v="0.71604938271604934"/>
    <n v="0.17624521072796934"/>
    <n v="5043.478260869565"/>
  </r>
  <r>
    <d v="2025-03-03T00:00:00"/>
    <x v="1"/>
    <x v="4"/>
    <n v="1047"/>
    <n v="324"/>
    <n v="209"/>
    <n v="165"/>
    <n v="6789000"/>
    <n v="0.30945558739255014"/>
    <n v="0.64506172839506171"/>
    <n v="0.15759312320916904"/>
    <n v="41145.454545454544"/>
  </r>
  <r>
    <d v="2025-03-03T00:00:00"/>
    <x v="2"/>
    <x v="5"/>
    <n v="689"/>
    <n v="136"/>
    <n v="77"/>
    <n v="55"/>
    <n v="3726000"/>
    <n v="0.19738751814223512"/>
    <n v="0.56617647058823528"/>
    <n v="7.982583454281568E-2"/>
    <n v="67745.454545454544"/>
  </r>
  <r>
    <d v="2025-03-10T00:00:00"/>
    <x v="0"/>
    <x v="7"/>
    <n v="1039"/>
    <n v="301"/>
    <n v="203"/>
    <n v="147"/>
    <n v="3983000"/>
    <n v="0.28970163618864292"/>
    <n v="0.67441860465116277"/>
    <n v="0.14148219441770934"/>
    <n v="27095.238095238095"/>
  </r>
  <r>
    <d v="2025-03-10T00:00:00"/>
    <x v="1"/>
    <x v="1"/>
    <n v="865"/>
    <n v="236"/>
    <n v="156"/>
    <n v="118"/>
    <n v="0"/>
    <n v="0.27283236994219651"/>
    <n v="0.66101694915254239"/>
    <n v="0.13641618497109825"/>
    <n v="0"/>
  </r>
  <r>
    <d v="2025-03-10T00:00:00"/>
    <x v="2"/>
    <x v="9"/>
    <n v="669"/>
    <n v="167"/>
    <n v="97"/>
    <n v="64"/>
    <n v="2488000"/>
    <n v="0.24962630792227206"/>
    <n v="0.58083832335329344"/>
    <n v="9.5665171898355758E-2"/>
    <n v="38875"/>
  </r>
  <r>
    <d v="2025-03-17T00:00:00"/>
    <x v="0"/>
    <x v="7"/>
    <n v="1003"/>
    <n v="247"/>
    <n v="153"/>
    <n v="107"/>
    <n v="3365000"/>
    <n v="0.24626121635094717"/>
    <n v="0.61943319838056676"/>
    <n v="0.10667996011964108"/>
    <n v="31448.598130841121"/>
  </r>
  <r>
    <d v="2025-03-17T00:00:00"/>
    <x v="1"/>
    <x v="4"/>
    <n v="1152"/>
    <n v="358"/>
    <n v="243"/>
    <n v="195"/>
    <n v="7788000"/>
    <n v="0.3107638888888889"/>
    <n v="0.67877094972067042"/>
    <n v="0.16927083333333334"/>
    <n v="39938.461538461539"/>
  </r>
  <r>
    <d v="2025-03-17T00:00:00"/>
    <x v="2"/>
    <x v="9"/>
    <n v="660"/>
    <n v="150"/>
    <n v="87"/>
    <n v="59"/>
    <n v="2893000"/>
    <n v="0.22727272727272727"/>
    <n v="0.57999999999999996"/>
    <n v="8.9393939393939401E-2"/>
    <n v="49033.898305084746"/>
  </r>
  <r>
    <d v="2025-03-24T00:00:00"/>
    <x v="0"/>
    <x v="0"/>
    <n v="541"/>
    <n v="149"/>
    <n v="94"/>
    <n v="76"/>
    <n v="338000"/>
    <n v="0.2754158964879852"/>
    <n v="0.63087248322147649"/>
    <n v="0.14048059149722736"/>
    <n v="4447.3684210526317"/>
  </r>
  <r>
    <d v="2025-03-24T00:00:00"/>
    <x v="1"/>
    <x v="4"/>
    <n v="968"/>
    <n v="297"/>
    <n v="192"/>
    <n v="151"/>
    <n v="6744000"/>
    <n v="0.30681818181818182"/>
    <n v="0.64646464646464652"/>
    <n v="0.15599173553719009"/>
    <n v="44662.251655629138"/>
  </r>
  <r>
    <d v="2025-03-24T00:00:00"/>
    <x v="2"/>
    <x v="2"/>
    <n v="263"/>
    <n v="50"/>
    <n v="27"/>
    <n v="17"/>
    <n v="0"/>
    <n v="0.19011406844106463"/>
    <n v="0.54"/>
    <n v="6.4638783269961975E-2"/>
    <n v="0"/>
  </r>
  <r>
    <d v="2025-03-31T00:00:00"/>
    <x v="0"/>
    <x v="6"/>
    <n v="749"/>
    <n v="182"/>
    <n v="121"/>
    <n v="85"/>
    <n v="0"/>
    <n v="0.24299065420560748"/>
    <n v="0.6648351648351648"/>
    <n v="0.11348464619492657"/>
    <n v="0"/>
  </r>
  <r>
    <d v="2025-03-31T00:00:00"/>
    <x v="1"/>
    <x v="4"/>
    <n v="919"/>
    <n v="264"/>
    <n v="178"/>
    <n v="141"/>
    <n v="4639000"/>
    <n v="0.28726877040261156"/>
    <n v="0.6742424242424242"/>
    <n v="0.15342763873775844"/>
    <n v="32900.709219858159"/>
  </r>
  <r>
    <d v="2025-03-31T00:00:00"/>
    <x v="2"/>
    <x v="2"/>
    <n v="417"/>
    <n v="84"/>
    <n v="48"/>
    <n v="33"/>
    <n v="0"/>
    <n v="0.20143884892086331"/>
    <n v="0.5714285714285714"/>
    <n v="7.9136690647482008E-2"/>
    <n v="0"/>
  </r>
  <r>
    <d v="2025-04-07T00:00:00"/>
    <x v="0"/>
    <x v="7"/>
    <n v="956"/>
    <n v="251"/>
    <n v="168"/>
    <n v="120"/>
    <n v="3694000"/>
    <n v="0.2625523012552301"/>
    <n v="0.66932270916334657"/>
    <n v="0.12552301255230125"/>
    <n v="30783.333333333332"/>
  </r>
  <r>
    <d v="2025-04-07T00:00:00"/>
    <x v="1"/>
    <x v="4"/>
    <n v="1123"/>
    <n v="286"/>
    <n v="191"/>
    <n v="149"/>
    <n v="6347000"/>
    <n v="0.25467497773820125"/>
    <n v="0.66783216783216781"/>
    <n v="0.13268032056990206"/>
    <n v="42597.31543624161"/>
  </r>
  <r>
    <d v="2025-04-07T00:00:00"/>
    <x v="2"/>
    <x v="2"/>
    <n v="335"/>
    <n v="70"/>
    <n v="41"/>
    <n v="29"/>
    <n v="0"/>
    <n v="0.20895522388059701"/>
    <n v="0.58571428571428574"/>
    <n v="8.6567164179104483E-2"/>
    <n v="0"/>
  </r>
  <r>
    <d v="2025-04-14T00:00:00"/>
    <x v="0"/>
    <x v="6"/>
    <n v="757"/>
    <n v="188"/>
    <n v="121"/>
    <n v="87"/>
    <n v="0"/>
    <n v="0.24834874504623514"/>
    <n v="0.6436170212765957"/>
    <n v="0.11492734478203434"/>
    <n v="0"/>
  </r>
  <r>
    <d v="2025-04-14T00:00:00"/>
    <x v="1"/>
    <x v="1"/>
    <n v="884"/>
    <n v="226"/>
    <n v="146"/>
    <n v="121"/>
    <n v="0"/>
    <n v="0.25565610859728505"/>
    <n v="0.64601769911504425"/>
    <n v="0.13687782805429866"/>
    <n v="0"/>
  </r>
  <r>
    <d v="2025-04-14T00:00:00"/>
    <x v="2"/>
    <x v="2"/>
    <n v="510"/>
    <n v="106"/>
    <n v="61"/>
    <n v="40"/>
    <n v="0"/>
    <n v="0.20784313725490197"/>
    <n v="0.57547169811320753"/>
    <n v="7.8431372549019607E-2"/>
    <n v="0"/>
  </r>
  <r>
    <d v="2025-04-21T00:00:00"/>
    <x v="0"/>
    <x v="3"/>
    <n v="816"/>
    <n v="182"/>
    <n v="114"/>
    <n v="85"/>
    <n v="4229000"/>
    <n v="0.22303921568627452"/>
    <n v="0.62637362637362637"/>
    <n v="0.10416666666666667"/>
    <n v="49752.941176470587"/>
  </r>
  <r>
    <d v="2025-04-21T00:00:00"/>
    <x v="1"/>
    <x v="1"/>
    <n v="929"/>
    <n v="266"/>
    <n v="172"/>
    <n v="128"/>
    <n v="0"/>
    <n v="0.28632938643702904"/>
    <n v="0.64661654135338342"/>
    <n v="0.13778256189451021"/>
    <n v="0"/>
  </r>
  <r>
    <d v="2025-04-21T00:00:00"/>
    <x v="2"/>
    <x v="5"/>
    <n v="564"/>
    <n v="117"/>
    <n v="69"/>
    <n v="45"/>
    <n v="3607000"/>
    <n v="0.20744680851063829"/>
    <n v="0.58974358974358976"/>
    <n v="7.9787234042553196E-2"/>
    <n v="80155.555555555562"/>
  </r>
  <r>
    <d v="2025-04-28T00:00:00"/>
    <x v="0"/>
    <x v="0"/>
    <n v="537"/>
    <n v="149"/>
    <n v="105"/>
    <n v="87"/>
    <n v="379000"/>
    <n v="0.27746741154562382"/>
    <n v="0.70469798657718119"/>
    <n v="0.16201117318435754"/>
    <n v="4356.3218390804595"/>
  </r>
  <r>
    <d v="2025-04-28T00:00:00"/>
    <x v="1"/>
    <x v="4"/>
    <n v="980"/>
    <n v="298"/>
    <n v="204"/>
    <n v="154"/>
    <n v="6727000"/>
    <n v="0.30408163265306121"/>
    <n v="0.68456375838926176"/>
    <n v="0.15714285714285714"/>
    <n v="43681.818181818184"/>
  </r>
  <r>
    <d v="2025-04-28T00:00:00"/>
    <x v="2"/>
    <x v="9"/>
    <n v="649"/>
    <n v="170"/>
    <n v="96"/>
    <n v="65"/>
    <n v="2294000"/>
    <n v="0.26194144838212635"/>
    <n v="0.56470588235294117"/>
    <n v="0.10015408320493066"/>
    <n v="35292.307692307695"/>
  </r>
  <r>
    <d v="2025-05-05T00:00:00"/>
    <x v="0"/>
    <x v="6"/>
    <n v="764"/>
    <n v="177"/>
    <n v="116"/>
    <n v="82"/>
    <n v="0"/>
    <n v="0.23167539267015708"/>
    <n v="0.65536723163841804"/>
    <n v="0.10732984293193717"/>
    <n v="0"/>
  </r>
  <r>
    <d v="2025-05-05T00:00:00"/>
    <x v="1"/>
    <x v="8"/>
    <n v="1169"/>
    <n v="352"/>
    <n v="231"/>
    <n v="179"/>
    <n v="4931000"/>
    <n v="0.30111206159110349"/>
    <n v="0.65625"/>
    <n v="0.15312232677502138"/>
    <n v="27547.486033519552"/>
  </r>
  <r>
    <d v="2025-05-05T00:00:00"/>
    <x v="2"/>
    <x v="9"/>
    <n v="627"/>
    <n v="144"/>
    <n v="79"/>
    <n v="55"/>
    <n v="2413000"/>
    <n v="0.22966507177033493"/>
    <n v="0.54861111111111116"/>
    <n v="8.771929824561403E-2"/>
    <n v="43872.727272727272"/>
  </r>
  <r>
    <d v="2025-05-12T00:00:00"/>
    <x v="0"/>
    <x v="3"/>
    <n v="880"/>
    <n v="190"/>
    <n v="120"/>
    <n v="81"/>
    <n v="4587000"/>
    <n v="0.21590909090909091"/>
    <n v="0.63157894736842102"/>
    <n v="9.2045454545454541E-2"/>
    <n v="56629.629629629628"/>
  </r>
  <r>
    <d v="2025-05-12T00:00:00"/>
    <x v="1"/>
    <x v="4"/>
    <n v="1021"/>
    <n v="276"/>
    <n v="172"/>
    <n v="130"/>
    <n v="6025000"/>
    <n v="0.2703232125367287"/>
    <n v="0.62318840579710144"/>
    <n v="0.12732615083251714"/>
    <n v="46346.153846153844"/>
  </r>
  <r>
    <d v="2025-05-12T00:00:00"/>
    <x v="2"/>
    <x v="9"/>
    <n v="541"/>
    <n v="138"/>
    <n v="80"/>
    <n v="52"/>
    <n v="2424000"/>
    <n v="0.25508317929759705"/>
    <n v="0.57971014492753625"/>
    <n v="9.6118299445471345E-2"/>
    <n v="46615.384615384617"/>
  </r>
  <r>
    <d v="2025-05-19T00:00:00"/>
    <x v="0"/>
    <x v="6"/>
    <n v="798"/>
    <n v="204"/>
    <n v="135"/>
    <n v="95"/>
    <n v="0"/>
    <n v="0.25563909774436089"/>
    <n v="0.66176470588235292"/>
    <n v="0.11904761904761904"/>
    <n v="0"/>
  </r>
  <r>
    <d v="2025-05-19T00:00:00"/>
    <x v="1"/>
    <x v="8"/>
    <n v="1194"/>
    <n v="399"/>
    <n v="261"/>
    <n v="203"/>
    <n v="4872000"/>
    <n v="0.33417085427135679"/>
    <n v="0.65413533834586468"/>
    <n v="0.17001675041876047"/>
    <n v="24000"/>
  </r>
  <r>
    <d v="2025-05-19T00:00:00"/>
    <x v="2"/>
    <x v="9"/>
    <n v="596"/>
    <n v="142"/>
    <n v="77"/>
    <n v="50"/>
    <n v="1644000"/>
    <n v="0.23825503355704697"/>
    <n v="0.54225352112676062"/>
    <n v="8.3892617449664433E-2"/>
    <n v="32880"/>
  </r>
  <r>
    <d v="2025-05-26T00:00:00"/>
    <x v="0"/>
    <x v="7"/>
    <n v="881"/>
    <n v="241"/>
    <n v="161"/>
    <n v="111"/>
    <n v="2310000"/>
    <n v="0.27355278093076052"/>
    <n v="0.66804979253112029"/>
    <n v="0.12599318955732122"/>
    <n v="20810.81081081081"/>
  </r>
  <r>
    <d v="2025-05-26T00:00:00"/>
    <x v="1"/>
    <x v="1"/>
    <n v="773"/>
    <n v="230"/>
    <n v="156"/>
    <n v="122"/>
    <n v="0"/>
    <n v="0.29754204398447609"/>
    <n v="0.67826086956521736"/>
    <n v="0.15782664941785252"/>
    <n v="0"/>
  </r>
  <r>
    <d v="2025-05-26T00:00:00"/>
    <x v="2"/>
    <x v="9"/>
    <n v="649"/>
    <n v="180"/>
    <n v="107"/>
    <n v="72"/>
    <n v="1912000"/>
    <n v="0.27734976887519258"/>
    <n v="0.59444444444444444"/>
    <n v="0.11093990755007704"/>
    <n v="26555.555555555555"/>
  </r>
  <r>
    <d v="2025-06-02T00:00:00"/>
    <x v="0"/>
    <x v="6"/>
    <n v="854"/>
    <n v="194"/>
    <n v="129"/>
    <n v="93"/>
    <n v="0"/>
    <n v="0.22716627634660422"/>
    <n v="0.66494845360824739"/>
    <n v="0.10889929742388758"/>
    <n v="0"/>
  </r>
  <r>
    <d v="2025-06-02T00:00:00"/>
    <x v="1"/>
    <x v="4"/>
    <n v="1040"/>
    <n v="290"/>
    <n v="201"/>
    <n v="160"/>
    <n v="5861000"/>
    <n v="0.27884615384615385"/>
    <n v="0.69310344827586212"/>
    <n v="0.15384615384615385"/>
    <n v="36631.25"/>
  </r>
  <r>
    <d v="2025-06-02T00:00:00"/>
    <x v="2"/>
    <x v="9"/>
    <n v="763"/>
    <n v="193"/>
    <n v="114"/>
    <n v="76"/>
    <n v="3243000"/>
    <n v="0.25294888597640891"/>
    <n v="0.59067357512953367"/>
    <n v="9.9606815203145474E-2"/>
    <n v="42671.052631578947"/>
  </r>
  <r>
    <d v="2025-06-09T00:00:00"/>
    <x v="0"/>
    <x v="7"/>
    <n v="941"/>
    <n v="260"/>
    <n v="167"/>
    <n v="121"/>
    <n v="3109000"/>
    <n v="0.27630180658873538"/>
    <n v="0.64230769230769236"/>
    <n v="0.12858660998937302"/>
    <n v="25694.214876033056"/>
  </r>
  <r>
    <d v="2025-06-09T00:00:00"/>
    <x v="1"/>
    <x v="1"/>
    <n v="898"/>
    <n v="243"/>
    <n v="154"/>
    <n v="118"/>
    <n v="0"/>
    <n v="0.27060133630289535"/>
    <n v="0.63374485596707819"/>
    <n v="0.13140311804008908"/>
    <n v="0"/>
  </r>
  <r>
    <d v="2025-06-09T00:00:00"/>
    <x v="2"/>
    <x v="5"/>
    <n v="678"/>
    <n v="126"/>
    <n v="75"/>
    <n v="51"/>
    <n v="3291000"/>
    <n v="0.18584070796460178"/>
    <n v="0.59523809523809523"/>
    <n v="7.5221238938053103E-2"/>
    <n v="64529.411764705881"/>
  </r>
  <r>
    <d v="2025-06-16T00:00:00"/>
    <x v="0"/>
    <x v="3"/>
    <n v="897"/>
    <n v="188"/>
    <n v="118"/>
    <n v="85"/>
    <n v="5936000"/>
    <n v="0.20958751393534003"/>
    <n v="0.62765957446808507"/>
    <n v="9.4760312151616496E-2"/>
    <n v="69835.294117647063"/>
  </r>
  <r>
    <d v="2025-06-16T00:00:00"/>
    <x v="1"/>
    <x v="8"/>
    <n v="1191"/>
    <n v="372"/>
    <n v="249"/>
    <n v="200"/>
    <n v="3359000"/>
    <n v="0.31234256926952142"/>
    <n v="0.66935483870967738"/>
    <n v="0.16792611251049538"/>
    <n v="16795"/>
  </r>
  <r>
    <d v="2025-06-16T00:00:00"/>
    <x v="2"/>
    <x v="5"/>
    <n v="536"/>
    <n v="114"/>
    <n v="65"/>
    <n v="40"/>
    <n v="3091000"/>
    <n v="0.21268656716417911"/>
    <n v="0.57017543859649122"/>
    <n v="7.4626865671641784E-2"/>
    <n v="77275"/>
  </r>
  <r>
    <d v="2025-06-23T00:00:00"/>
    <x v="0"/>
    <x v="3"/>
    <n v="748"/>
    <n v="143"/>
    <n v="96"/>
    <n v="69"/>
    <n v="4084000"/>
    <n v="0.19117647058823528"/>
    <n v="0.67132867132867136"/>
    <n v="9.2245989304812828E-2"/>
    <n v="59188.405797101448"/>
  </r>
  <r>
    <d v="2025-06-23T00:00:00"/>
    <x v="1"/>
    <x v="4"/>
    <n v="1174"/>
    <n v="359"/>
    <n v="230"/>
    <n v="194"/>
    <n v="6685000"/>
    <n v="0.30579216354344124"/>
    <n v="0.64066852367688021"/>
    <n v="0.16524701873935263"/>
    <n v="34458.762886597935"/>
  </r>
  <r>
    <d v="2025-06-23T00:00:00"/>
    <x v="2"/>
    <x v="5"/>
    <n v="601"/>
    <n v="137"/>
    <n v="81"/>
    <n v="51"/>
    <n v="4131000"/>
    <n v="0.22795341098169716"/>
    <n v="0.59124087591240881"/>
    <n v="8.4858569051580693E-2"/>
    <n v="81000"/>
  </r>
  <r>
    <d v="2025-06-30T00:00:00"/>
    <x v="0"/>
    <x v="6"/>
    <n v="770"/>
    <n v="179"/>
    <n v="116"/>
    <n v="89"/>
    <n v="0"/>
    <n v="0.23246753246753246"/>
    <n v="0.64804469273743015"/>
    <n v="0.11558441558441558"/>
    <n v="0"/>
  </r>
  <r>
    <d v="2025-06-30T00:00:00"/>
    <x v="1"/>
    <x v="4"/>
    <n v="1017"/>
    <n v="318"/>
    <n v="206"/>
    <n v="162"/>
    <n v="5838000"/>
    <n v="0.31268436578171094"/>
    <n v="0.64779874213836475"/>
    <n v="0.15929203539823009"/>
    <n v="36037.037037037036"/>
  </r>
  <r>
    <d v="2025-06-30T00:00:00"/>
    <x v="2"/>
    <x v="9"/>
    <n v="668"/>
    <n v="161"/>
    <n v="92"/>
    <n v="61"/>
    <n v="2791000"/>
    <n v="0.2410179640718563"/>
    <n v="0.5714285714285714"/>
    <n v="9.1317365269461076E-2"/>
    <n v="45754.098360655735"/>
  </r>
  <r>
    <d v="2025-07-07T00:00:00"/>
    <x v="0"/>
    <x v="6"/>
    <n v="719"/>
    <n v="162"/>
    <n v="110"/>
    <n v="79"/>
    <n v="0"/>
    <n v="0.22531293463143254"/>
    <n v="0.67901234567901236"/>
    <n v="0.10987482614742698"/>
    <n v="0"/>
  </r>
  <r>
    <d v="2025-07-07T00:00:00"/>
    <x v="1"/>
    <x v="8"/>
    <n v="1181"/>
    <n v="391"/>
    <n v="238"/>
    <n v="183"/>
    <n v="4362000"/>
    <n v="0.33107535986452158"/>
    <n v="0.60869565217391308"/>
    <n v="0.15495342929720576"/>
    <n v="23836.065573770491"/>
  </r>
  <r>
    <d v="2025-07-07T00:00:00"/>
    <x v="2"/>
    <x v="2"/>
    <n v="431"/>
    <n v="100"/>
    <n v="55"/>
    <n v="36"/>
    <n v="0"/>
    <n v="0.23201856148491878"/>
    <n v="0.55000000000000004"/>
    <n v="8.3526682134570762E-2"/>
    <n v="0"/>
  </r>
  <r>
    <d v="2025-07-14T00:00:00"/>
    <x v="0"/>
    <x v="0"/>
    <n v="411"/>
    <n v="108"/>
    <n v="67"/>
    <n v="53"/>
    <n v="348000"/>
    <n v="0.26277372262773724"/>
    <n v="0.62037037037037035"/>
    <n v="0.12895377128953772"/>
    <n v="6566.0377358490568"/>
  </r>
  <r>
    <d v="2025-07-14T00:00:00"/>
    <x v="1"/>
    <x v="4"/>
    <n v="1109"/>
    <n v="368"/>
    <n v="222"/>
    <n v="184"/>
    <n v="6187000"/>
    <n v="0.33183047790802522"/>
    <n v="0.60326086956521741"/>
    <n v="0.16591523895401261"/>
    <n v="33625"/>
  </r>
  <r>
    <d v="2025-07-14T00:00:00"/>
    <x v="2"/>
    <x v="2"/>
    <n v="422"/>
    <n v="87"/>
    <n v="50"/>
    <n v="32"/>
    <n v="0"/>
    <n v="0.20616113744075829"/>
    <n v="0.57471264367816088"/>
    <n v="7.582938388625593E-2"/>
    <n v="0"/>
  </r>
  <r>
    <d v="2025-07-21T00:00:00"/>
    <x v="0"/>
    <x v="6"/>
    <n v="710"/>
    <n v="157"/>
    <n v="113"/>
    <n v="84"/>
    <n v="0"/>
    <n v="0.22112676056338029"/>
    <n v="0.71974522292993626"/>
    <n v="0.11830985915492957"/>
    <n v="0"/>
  </r>
  <r>
    <d v="2025-07-21T00:00:00"/>
    <x v="1"/>
    <x v="1"/>
    <n v="962"/>
    <n v="267"/>
    <n v="176"/>
    <n v="136"/>
    <n v="0"/>
    <n v="0.27754677754677753"/>
    <n v="0.65917602996254676"/>
    <n v="0.14137214137214138"/>
    <n v="0"/>
  </r>
  <r>
    <d v="2025-07-21T00:00:00"/>
    <x v="2"/>
    <x v="5"/>
    <n v="547"/>
    <n v="108"/>
    <n v="62"/>
    <n v="42"/>
    <n v="2822000"/>
    <n v="0.19744058500914077"/>
    <n v="0.57407407407407407"/>
    <n v="7.6782449725776969E-2"/>
    <n v="67190.476190476184"/>
  </r>
  <r>
    <d v="2025-07-28T00:00:00"/>
    <x v="0"/>
    <x v="3"/>
    <n v="907"/>
    <n v="244"/>
    <n v="157"/>
    <n v="111"/>
    <n v="4749000"/>
    <n v="0.26901874310915103"/>
    <n v="0.64344262295081966"/>
    <n v="0.12238147739801543"/>
    <n v="42783.783783783787"/>
  </r>
  <r>
    <d v="2025-07-28T00:00:00"/>
    <x v="1"/>
    <x v="1"/>
    <n v="886"/>
    <n v="269"/>
    <n v="176"/>
    <n v="136"/>
    <n v="0"/>
    <n v="0.30361173814898418"/>
    <n v="0.65427509293680297"/>
    <n v="0.15349887133182843"/>
    <n v="0"/>
  </r>
  <r>
    <d v="2025-07-28T00:00:00"/>
    <x v="2"/>
    <x v="5"/>
    <n v="591"/>
    <n v="128"/>
    <n v="73"/>
    <n v="49"/>
    <n v="2955000"/>
    <n v="0.21658206429780033"/>
    <n v="0.5703125"/>
    <n v="8.2910321489001695E-2"/>
    <n v="60306.122448979593"/>
  </r>
  <r>
    <d v="2025-08-04T00:00:00"/>
    <x v="0"/>
    <x v="0"/>
    <n v="533"/>
    <n v="157"/>
    <n v="106"/>
    <n v="84"/>
    <n v="406000"/>
    <n v="0.2945590994371482"/>
    <n v="0.67515923566878977"/>
    <n v="0.1575984990619137"/>
    <n v="4833.333333333333"/>
  </r>
  <r>
    <d v="2025-08-04T00:00:00"/>
    <x v="1"/>
    <x v="1"/>
    <n v="802"/>
    <n v="251"/>
    <n v="166"/>
    <n v="131"/>
    <n v="0"/>
    <n v="0.31296758104738154"/>
    <n v="0.66135458167330674"/>
    <n v="0.1633416458852868"/>
    <n v="0"/>
  </r>
  <r>
    <d v="2025-08-04T00:00:00"/>
    <x v="2"/>
    <x v="9"/>
    <n v="739"/>
    <n v="163"/>
    <n v="94"/>
    <n v="60"/>
    <n v="2077000"/>
    <n v="0.22056833558863329"/>
    <n v="0.57668711656441718"/>
    <n v="8.1190798376184037E-2"/>
    <n v="34616.666666666664"/>
  </r>
  <r>
    <d v="2025-08-11T00:00:00"/>
    <x v="0"/>
    <x v="0"/>
    <n v="608"/>
    <n v="173"/>
    <n v="119"/>
    <n v="95"/>
    <n v="621000"/>
    <n v="0.28453947368421051"/>
    <n v="0.68786127167630062"/>
    <n v="0.15625"/>
    <n v="6536.8421052631575"/>
  </r>
  <r>
    <d v="2025-08-11T00:00:00"/>
    <x v="1"/>
    <x v="4"/>
    <n v="1098"/>
    <n v="326"/>
    <n v="210"/>
    <n v="164"/>
    <n v="7866000"/>
    <n v="0.29690346083788705"/>
    <n v="0.64417177914110424"/>
    <n v="0.1493624772313297"/>
    <n v="47963.414634146342"/>
  </r>
  <r>
    <d v="2025-08-11T00:00:00"/>
    <x v="2"/>
    <x v="9"/>
    <n v="835"/>
    <n v="159"/>
    <n v="91"/>
    <n v="61"/>
    <n v="2362000"/>
    <n v="0.19041916167664671"/>
    <n v="0.57232704402515722"/>
    <n v="7.3053892215568864E-2"/>
    <n v="38721.311475409835"/>
  </r>
  <r>
    <d v="2025-08-18T00:00:00"/>
    <x v="0"/>
    <x v="7"/>
    <n v="916"/>
    <n v="249"/>
    <n v="167"/>
    <n v="117"/>
    <n v="3958000"/>
    <n v="0.27183406113537117"/>
    <n v="0.67068273092369479"/>
    <n v="0.12772925764192139"/>
    <n v="33829.059829059828"/>
  </r>
  <r>
    <d v="2025-08-18T00:00:00"/>
    <x v="1"/>
    <x v="8"/>
    <n v="1235"/>
    <n v="375"/>
    <n v="233"/>
    <n v="172"/>
    <n v="4425000"/>
    <n v="0.30364372469635625"/>
    <n v="0.62133333333333329"/>
    <n v="0.13927125506072874"/>
    <n v="25726.744186046511"/>
  </r>
  <r>
    <d v="2025-08-18T00:00:00"/>
    <x v="2"/>
    <x v="5"/>
    <n v="718"/>
    <n v="132"/>
    <n v="83"/>
    <n v="54"/>
    <n v="4494000"/>
    <n v="0.18384401114206128"/>
    <n v="0.62878787878787878"/>
    <n v="7.5208913649025072E-2"/>
    <n v="83222.222222222219"/>
  </r>
  <r>
    <d v="2025-08-25T00:00:00"/>
    <x v="0"/>
    <x v="6"/>
    <n v="741"/>
    <n v="187"/>
    <n v="125"/>
    <n v="86"/>
    <n v="0"/>
    <n v="0.25236167341430499"/>
    <n v="0.66844919786096257"/>
    <n v="0.11605937921727395"/>
    <n v="0"/>
  </r>
  <r>
    <d v="2025-08-25T00:00:00"/>
    <x v="1"/>
    <x v="4"/>
    <n v="1046"/>
    <n v="288"/>
    <n v="189"/>
    <n v="144"/>
    <n v="6702000"/>
    <n v="0.27533460803059273"/>
    <n v="0.65625"/>
    <n v="0.13766730401529637"/>
    <n v="46541.666666666664"/>
  </r>
  <r>
    <d v="2025-08-25T00:00:00"/>
    <x v="2"/>
    <x v="2"/>
    <n v="432"/>
    <n v="79"/>
    <n v="43"/>
    <n v="29"/>
    <n v="0"/>
    <n v="0.18287037037037038"/>
    <n v="0.54430379746835444"/>
    <n v="6.7129629629629636E-2"/>
    <n v="0"/>
  </r>
  <r>
    <d v="2025-09-01T00:00:00"/>
    <x v="0"/>
    <x v="6"/>
    <n v="798"/>
    <n v="198"/>
    <n v="137"/>
    <n v="97"/>
    <n v="0"/>
    <n v="0.24812030075187969"/>
    <n v="0.69191919191919193"/>
    <n v="0.12155388471177944"/>
    <n v="0"/>
  </r>
  <r>
    <d v="2025-09-01T00:00:00"/>
    <x v="1"/>
    <x v="1"/>
    <n v="1004"/>
    <n v="248"/>
    <n v="167"/>
    <n v="135"/>
    <n v="0"/>
    <n v="0.24701195219123506"/>
    <n v="0.67338709677419351"/>
    <n v="0.1344621513944223"/>
    <n v="0"/>
  </r>
  <r>
    <d v="2025-09-01T00:00:00"/>
    <x v="2"/>
    <x v="5"/>
    <n v="603"/>
    <n v="128"/>
    <n v="73"/>
    <n v="48"/>
    <n v="3214000"/>
    <n v="0.21227197346600332"/>
    <n v="0.5703125"/>
    <n v="7.9601990049751242E-2"/>
    <n v="66958.333333333328"/>
  </r>
  <r>
    <d v="2025-09-08T00:00:00"/>
    <x v="0"/>
    <x v="0"/>
    <n v="617"/>
    <n v="181"/>
    <n v="109"/>
    <n v="91"/>
    <n v="605000"/>
    <n v="0.29335494327390599"/>
    <n v="0.60220994475138123"/>
    <n v="0.14748784440842788"/>
    <n v="6648.3516483516487"/>
  </r>
  <r>
    <d v="2025-09-08T00:00:00"/>
    <x v="1"/>
    <x v="1"/>
    <n v="1012"/>
    <n v="285"/>
    <n v="178"/>
    <n v="134"/>
    <n v="0"/>
    <n v="0.28162055335968378"/>
    <n v="0.62456140350877198"/>
    <n v="0.1324110671936759"/>
    <n v="0"/>
  </r>
  <r>
    <d v="2025-09-08T00:00:00"/>
    <x v="2"/>
    <x v="5"/>
    <n v="658"/>
    <n v="114"/>
    <n v="64"/>
    <n v="44"/>
    <n v="4273000"/>
    <n v="0.17325227963525835"/>
    <n v="0.56140350877192979"/>
    <n v="6.6869300911854099E-2"/>
    <n v="97113.636363636368"/>
  </r>
  <r>
    <d v="2025-09-15T00:00:00"/>
    <x v="0"/>
    <x v="6"/>
    <n v="857"/>
    <n v="190"/>
    <n v="123"/>
    <n v="86"/>
    <n v="0"/>
    <n v="0.22170361726954493"/>
    <n v="0.64736842105263159"/>
    <n v="0.10035005834305717"/>
    <n v="0"/>
  </r>
  <r>
    <d v="2025-09-15T00:00:00"/>
    <x v="1"/>
    <x v="4"/>
    <n v="1105"/>
    <n v="315"/>
    <n v="206"/>
    <n v="156"/>
    <n v="5568000"/>
    <n v="0.28506787330316741"/>
    <n v="0.65396825396825398"/>
    <n v="0.14117647058823529"/>
    <n v="35692.307692307695"/>
  </r>
  <r>
    <d v="2025-09-15T00:00:00"/>
    <x v="2"/>
    <x v="9"/>
    <n v="891"/>
    <n v="196"/>
    <n v="114"/>
    <n v="75"/>
    <n v="3069000"/>
    <n v="0.21997755331088664"/>
    <n v="0.58163265306122447"/>
    <n v="8.4175084175084181E-2"/>
    <n v="40920"/>
  </r>
  <r>
    <d v="2025-09-22T00:00:00"/>
    <x v="0"/>
    <x v="0"/>
    <n v="640"/>
    <n v="179"/>
    <n v="117"/>
    <n v="90"/>
    <n v="736000"/>
    <n v="0.27968749999999998"/>
    <n v="0.65363128491620115"/>
    <n v="0.140625"/>
    <n v="8177.7777777777774"/>
  </r>
  <r>
    <d v="2025-09-22T00:00:00"/>
    <x v="1"/>
    <x v="1"/>
    <n v="923"/>
    <n v="282"/>
    <n v="183"/>
    <n v="137"/>
    <n v="0"/>
    <n v="0.30552546045503792"/>
    <n v="0.64893617021276595"/>
    <n v="0.14842903575297942"/>
    <n v="0"/>
  </r>
  <r>
    <d v="2025-09-22T00:00:00"/>
    <x v="2"/>
    <x v="9"/>
    <n v="583"/>
    <n v="129"/>
    <n v="70"/>
    <n v="47"/>
    <n v="1608000"/>
    <n v="0.22126929674099485"/>
    <n v="0.54263565891472865"/>
    <n v="8.0617495711835338E-2"/>
    <n v="34212.765957446805"/>
  </r>
  <r>
    <d v="2025-09-29T00:00:00"/>
    <x v="0"/>
    <x v="7"/>
    <n v="1142"/>
    <n v="295"/>
    <n v="195"/>
    <n v="141"/>
    <n v="3099000"/>
    <n v="0.2583187390542907"/>
    <n v="0.66101694915254239"/>
    <n v="0.1234676007005254"/>
    <n v="21978.723404255321"/>
  </r>
  <r>
    <d v="2025-09-29T00:00:00"/>
    <x v="1"/>
    <x v="8"/>
    <n v="1369"/>
    <n v="467"/>
    <n v="302"/>
    <n v="225"/>
    <n v="3776000"/>
    <n v="0.34112490869247625"/>
    <n v="0.64668094218415417"/>
    <n v="0.1643535427319211"/>
    <n v="16782.222222222223"/>
  </r>
  <r>
    <d v="2025-09-29T00:00:00"/>
    <x v="2"/>
    <x v="5"/>
    <n v="602"/>
    <n v="116"/>
    <n v="67"/>
    <n v="44"/>
    <n v="4175000"/>
    <n v="0.19269102990033224"/>
    <n v="0.57758620689655171"/>
    <n v="7.3089700996677748E-2"/>
    <n v="94886.363636363632"/>
  </r>
  <r>
    <d v="2025-10-06T00:00:00"/>
    <x v="0"/>
    <x v="3"/>
    <n v="976"/>
    <n v="196"/>
    <n v="136"/>
    <n v="98"/>
    <n v="6972000"/>
    <n v="0.20081967213114754"/>
    <n v="0.69387755102040816"/>
    <n v="0.10040983606557377"/>
    <n v="71142.857142857145"/>
  </r>
  <r>
    <d v="2025-10-06T00:00:00"/>
    <x v="1"/>
    <x v="4"/>
    <n v="1156"/>
    <n v="368"/>
    <n v="255"/>
    <n v="200"/>
    <n v="6541000"/>
    <n v="0.31833910034602075"/>
    <n v="0.69293478260869568"/>
    <n v="0.17301038062283736"/>
    <n v="32705"/>
  </r>
  <r>
    <d v="2025-10-06T00:00:00"/>
    <x v="2"/>
    <x v="5"/>
    <n v="674"/>
    <n v="149"/>
    <n v="88"/>
    <n v="59"/>
    <n v="3772000"/>
    <n v="0.22106824925816024"/>
    <n v="0.59060402684563762"/>
    <n v="8.7537091988130561E-2"/>
    <n v="63932.203389830509"/>
  </r>
  <r>
    <d v="2025-10-13T00:00:00"/>
    <x v="0"/>
    <x v="0"/>
    <n v="504"/>
    <n v="131"/>
    <n v="75"/>
    <n v="59"/>
    <n v="545000"/>
    <n v="0.25992063492063494"/>
    <n v="0.5725190839694656"/>
    <n v="0.11706349206349206"/>
    <n v="9237.2881355932204"/>
  </r>
  <r>
    <d v="2025-10-13T00:00:00"/>
    <x v="1"/>
    <x v="1"/>
    <n v="1000"/>
    <n v="323"/>
    <n v="223"/>
    <n v="173"/>
    <n v="0"/>
    <n v="0.32300000000000001"/>
    <n v="0.69040247678018574"/>
    <n v="0.17299999999999999"/>
    <n v="0"/>
  </r>
  <r>
    <d v="2025-10-13T00:00:00"/>
    <x v="2"/>
    <x v="9"/>
    <n v="725"/>
    <n v="184"/>
    <n v="108"/>
    <n v="75"/>
    <n v="2908000"/>
    <n v="0.25379310344827588"/>
    <n v="0.58695652173913049"/>
    <n v="0.10344827586206896"/>
    <n v="38773.333333333336"/>
  </r>
  <r>
    <d v="2025-10-20T00:00:00"/>
    <x v="0"/>
    <x v="3"/>
    <n v="813"/>
    <n v="177"/>
    <n v="116"/>
    <n v="79"/>
    <n v="5330000"/>
    <n v="0.21771217712177121"/>
    <n v="0.65536723163841804"/>
    <n v="9.7170971709717099E-2"/>
    <n v="67468.354430379753"/>
  </r>
  <r>
    <d v="2025-10-20T00:00:00"/>
    <x v="1"/>
    <x v="4"/>
    <n v="1139"/>
    <n v="324"/>
    <n v="207"/>
    <n v="159"/>
    <n v="7453000"/>
    <n v="0.28446005267778751"/>
    <n v="0.63888888888888884"/>
    <n v="0.1395961369622476"/>
    <n v="46874.213836477989"/>
  </r>
  <r>
    <d v="2025-10-20T00:00:00"/>
    <x v="2"/>
    <x v="5"/>
    <n v="713"/>
    <n v="139"/>
    <n v="81"/>
    <n v="55"/>
    <n v="5006000"/>
    <n v="0.19495091164095371"/>
    <n v="0.58273381294964033"/>
    <n v="7.7138849929873771E-2"/>
    <n v="91018.181818181823"/>
  </r>
  <r>
    <d v="2025-10-27T00:00:00"/>
    <x v="0"/>
    <x v="7"/>
    <n v="1108"/>
    <n v="293"/>
    <n v="212"/>
    <n v="152"/>
    <n v="3270000"/>
    <n v="0.26444043321299637"/>
    <n v="0.7235494880546075"/>
    <n v="0.13718411552346571"/>
    <n v="21513.157894736843"/>
  </r>
  <r>
    <d v="2025-10-27T00:00:00"/>
    <x v="1"/>
    <x v="4"/>
    <n v="1246"/>
    <n v="348"/>
    <n v="238"/>
    <n v="181"/>
    <n v="6731000"/>
    <n v="0.27929373996789725"/>
    <n v="0.68390804597701149"/>
    <n v="0.14526484751203853"/>
    <n v="37187.845303867405"/>
  </r>
  <r>
    <d v="2025-10-27T00:00:00"/>
    <x v="2"/>
    <x v="2"/>
    <n v="410"/>
    <n v="70"/>
    <n v="37"/>
    <n v="24"/>
    <n v="0"/>
    <n v="0.17073170731707318"/>
    <n v="0.52857142857142858"/>
    <n v="5.8536585365853662E-2"/>
    <n v="0"/>
  </r>
  <r>
    <d v="2025-11-03T00:00:00"/>
    <x v="0"/>
    <x v="3"/>
    <n v="1184"/>
    <n v="279"/>
    <n v="184"/>
    <n v="133"/>
    <n v="7383000"/>
    <n v="0.23564189189189189"/>
    <n v="0.65949820788530467"/>
    <n v="0.11233108108108109"/>
    <n v="55511.278195488725"/>
  </r>
  <r>
    <d v="2025-11-03T00:00:00"/>
    <x v="1"/>
    <x v="4"/>
    <n v="1310"/>
    <n v="438"/>
    <n v="292"/>
    <n v="226"/>
    <n v="6760000"/>
    <n v="0.33435114503816793"/>
    <n v="0.66666666666666663"/>
    <n v="0.17251908396946564"/>
    <n v="29911.504424778763"/>
  </r>
  <r>
    <d v="2025-11-03T00:00:00"/>
    <x v="2"/>
    <x v="9"/>
    <n v="1105"/>
    <n v="280"/>
    <n v="156"/>
    <n v="102"/>
    <n v="4674000"/>
    <n v="0.25339366515837103"/>
    <n v="0.55714285714285716"/>
    <n v="9.2307692307692313E-2"/>
    <n v="45823.529411764706"/>
  </r>
  <r>
    <d v="2025-11-10T00:00:00"/>
    <x v="0"/>
    <x v="6"/>
    <n v="1003"/>
    <n v="263"/>
    <n v="169"/>
    <n v="116"/>
    <n v="0"/>
    <n v="0.26221335992023931"/>
    <n v="0.64258555133079853"/>
    <n v="0.1156530408773679"/>
    <n v="0"/>
  </r>
  <r>
    <d v="2025-11-10T00:00:00"/>
    <x v="1"/>
    <x v="4"/>
    <n v="1312"/>
    <n v="348"/>
    <n v="229"/>
    <n v="176"/>
    <n v="8628000"/>
    <n v="0.2652439024390244"/>
    <n v="0.65804597701149425"/>
    <n v="0.13414634146341464"/>
    <n v="49022.727272727272"/>
  </r>
  <r>
    <d v="2025-11-10T00:00:00"/>
    <x v="2"/>
    <x v="5"/>
    <n v="796"/>
    <n v="183"/>
    <n v="110"/>
    <n v="72"/>
    <n v="5324000"/>
    <n v="0.22989949748743718"/>
    <n v="0.60109289617486339"/>
    <n v="9.0452261306532666E-2"/>
    <n v="73944.444444444438"/>
  </r>
  <r>
    <d v="2025-11-17T00:00:00"/>
    <x v="0"/>
    <x v="3"/>
    <n v="1104"/>
    <n v="246"/>
    <n v="168"/>
    <n v="118"/>
    <n v="7533000"/>
    <n v="0.22282608695652173"/>
    <n v="0.68292682926829273"/>
    <n v="0.1068840579710145"/>
    <n v="63838.983050847455"/>
  </r>
  <r>
    <d v="2025-11-17T00:00:00"/>
    <x v="1"/>
    <x v="8"/>
    <n v="1543"/>
    <n v="471"/>
    <n v="325"/>
    <n v="257"/>
    <n v="4071000"/>
    <n v="0.30524951393389499"/>
    <n v="0.69002123142250527"/>
    <n v="0.16655865197666883"/>
    <n v="15840.466926070039"/>
  </r>
  <r>
    <d v="2025-11-17T00:00:00"/>
    <x v="2"/>
    <x v="5"/>
    <n v="797"/>
    <n v="160"/>
    <n v="95"/>
    <n v="61"/>
    <n v="3867000"/>
    <n v="0.20075282308657466"/>
    <n v="0.59375"/>
    <n v="7.6537013801756593E-2"/>
    <n v="63393.442622950817"/>
  </r>
  <r>
    <d v="2025-11-24T00:00:00"/>
    <x v="0"/>
    <x v="0"/>
    <n v="618"/>
    <n v="157"/>
    <n v="97"/>
    <n v="75"/>
    <n v="691000"/>
    <n v="0.25404530744336568"/>
    <n v="0.61783439490445857"/>
    <n v="0.12135922330097088"/>
    <n v="9213.3333333333339"/>
  </r>
  <r>
    <d v="2025-11-24T00:00:00"/>
    <x v="1"/>
    <x v="4"/>
    <n v="1501"/>
    <n v="443"/>
    <n v="307"/>
    <n v="237"/>
    <n v="8800000"/>
    <n v="0.29513657561625584"/>
    <n v="0.69300225733634313"/>
    <n v="0.15789473684210525"/>
    <n v="37130.801687763713"/>
  </r>
  <r>
    <d v="2025-11-24T00:00:00"/>
    <x v="2"/>
    <x v="5"/>
    <n v="765"/>
    <n v="149"/>
    <n v="81"/>
    <n v="53"/>
    <n v="3846000"/>
    <n v="0.19477124183006536"/>
    <n v="0.5436241610738255"/>
    <n v="6.9281045751633991E-2"/>
    <n v="72566.037735849051"/>
  </r>
  <r>
    <d v="2025-12-01T00:00:00"/>
    <x v="0"/>
    <x v="6"/>
    <n v="905"/>
    <n v="231"/>
    <n v="153"/>
    <n v="101"/>
    <n v="0"/>
    <n v="0.25524861878453037"/>
    <n v="0.66233766233766234"/>
    <n v="0.11160220994475138"/>
    <n v="0"/>
  </r>
  <r>
    <d v="2025-12-01T00:00:00"/>
    <x v="1"/>
    <x v="4"/>
    <n v="1435"/>
    <n v="381"/>
    <n v="260"/>
    <n v="205"/>
    <n v="8137000"/>
    <n v="0.26550522648083624"/>
    <n v="0.6824146981627297"/>
    <n v="0.14285714285714285"/>
    <n v="39692.682926829271"/>
  </r>
  <r>
    <d v="2025-12-01T00:00:00"/>
    <x v="2"/>
    <x v="2"/>
    <n v="619"/>
    <n v="130"/>
    <n v="75"/>
    <n v="52"/>
    <n v="0"/>
    <n v="0.21001615508885299"/>
    <n v="0.57692307692307687"/>
    <n v="8.4006462035541199E-2"/>
    <n v="0"/>
  </r>
  <r>
    <d v="2025-12-08T00:00:00"/>
    <x v="0"/>
    <x v="0"/>
    <n v="772"/>
    <n v="208"/>
    <n v="139"/>
    <n v="107"/>
    <n v="867000"/>
    <n v="0.26943005181347152"/>
    <n v="0.66826923076923073"/>
    <n v="0.13860103626943004"/>
    <n v="8102.8037383177571"/>
  </r>
  <r>
    <d v="2025-12-08T00:00:00"/>
    <x v="1"/>
    <x v="4"/>
    <n v="1462"/>
    <n v="419"/>
    <n v="269"/>
    <n v="210"/>
    <n v="10391000"/>
    <n v="0.286593707250342"/>
    <n v="0.64200477326968974"/>
    <n v="0.1436388508891929"/>
    <n v="49480.952380952382"/>
  </r>
  <r>
    <d v="2025-12-08T00:00:00"/>
    <x v="2"/>
    <x v="9"/>
    <n v="889"/>
    <n v="181"/>
    <n v="101"/>
    <n v="67"/>
    <n v="2764000"/>
    <n v="0.20359955005624297"/>
    <n v="0.55801104972375692"/>
    <n v="7.536557930258718E-2"/>
    <n v="41253.73134328358"/>
  </r>
  <r>
    <d v="2025-12-15T00:00:00"/>
    <x v="0"/>
    <x v="3"/>
    <n v="1158"/>
    <n v="292"/>
    <n v="184"/>
    <n v="136"/>
    <n v="6855000"/>
    <n v="0.25215889464594127"/>
    <n v="0.63013698630136983"/>
    <n v="0.11744386873920552"/>
    <n v="50404.411764705881"/>
  </r>
  <r>
    <d v="2025-12-15T00:00:00"/>
    <x v="1"/>
    <x v="1"/>
    <n v="1213"/>
    <n v="357"/>
    <n v="235"/>
    <n v="183"/>
    <n v="0"/>
    <n v="0.29431162407254741"/>
    <n v="0.65826330532212884"/>
    <n v="0.1508656224237428"/>
    <n v="0"/>
  </r>
  <r>
    <d v="2025-12-15T00:00:00"/>
    <x v="2"/>
    <x v="5"/>
    <n v="639"/>
    <n v="129"/>
    <n v="76"/>
    <n v="52"/>
    <n v="4203000"/>
    <n v="0.20187793427230047"/>
    <n v="0.58914728682170547"/>
    <n v="8.1377151799687006E-2"/>
    <n v="80826.923076923078"/>
  </r>
  <r>
    <d v="2025-12-22T00:00:00"/>
    <x v="0"/>
    <x v="0"/>
    <n v="735"/>
    <n v="212"/>
    <n v="133"/>
    <n v="106"/>
    <n v="609000"/>
    <n v="0.28843537414965986"/>
    <n v="0.62735849056603776"/>
    <n v="0.14421768707482993"/>
    <n v="5745.2830188679245"/>
  </r>
  <r>
    <d v="2025-12-22T00:00:00"/>
    <x v="1"/>
    <x v="1"/>
    <n v="1037"/>
    <n v="300"/>
    <n v="196"/>
    <n v="151"/>
    <n v="0"/>
    <n v="0.28929604628736738"/>
    <n v="0.65333333333333332"/>
    <n v="0.14561234329797493"/>
    <n v="0"/>
  </r>
  <r>
    <d v="2025-12-22T00:00:00"/>
    <x v="2"/>
    <x v="9"/>
    <n v="839"/>
    <n v="196"/>
    <n v="111"/>
    <n v="72"/>
    <n v="3085000"/>
    <n v="0.23361144219308702"/>
    <n v="0.56632653061224492"/>
    <n v="8.5816448152562577E-2"/>
    <n v="42847.222222222219"/>
  </r>
  <r>
    <d v="2025-12-29T00:00:00"/>
    <x v="0"/>
    <x v="6"/>
    <n v="936"/>
    <n v="206"/>
    <n v="139"/>
    <n v="96"/>
    <n v="0"/>
    <n v="0.22008547008547008"/>
    <n v="0.67475728155339809"/>
    <n v="0.10256410256410256"/>
    <n v="0"/>
  </r>
  <r>
    <d v="2025-12-29T00:00:00"/>
    <x v="1"/>
    <x v="4"/>
    <n v="1500"/>
    <n v="432"/>
    <n v="300"/>
    <n v="228"/>
    <n v="9901000"/>
    <n v="0.28799999999999998"/>
    <n v="0.69444444444444442"/>
    <n v="0.152"/>
    <n v="43425.438596491229"/>
  </r>
  <r>
    <d v="2025-12-29T00:00:00"/>
    <x v="2"/>
    <x v="2"/>
    <n v="573"/>
    <n v="125"/>
    <n v="66"/>
    <n v="41"/>
    <n v="0"/>
    <n v="0.2181500872600349"/>
    <n v="0.52800000000000002"/>
    <n v="7.1553228621291445E-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4971D-C3CB-4C00-9F2A-7CBB2A4946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7" firstHeaderRow="0" firstDataRow="1" firstDataCol="1"/>
  <pivotFields count="17">
    <pivotField numFmtId="164" showAll="0"/>
    <pivotField axis="axisRow" showAll="0">
      <items count="4">
        <item x="1"/>
        <item x="2"/>
        <item x="0"/>
        <item t="default"/>
      </items>
    </pivotField>
    <pivotField showAll="0"/>
    <pivotField dataField="1" showAll="0"/>
    <pivotField dataField="1" showAll="0"/>
    <pivotField dataField="1" showAll="0"/>
    <pivotField dataField="1" showAll="0"/>
    <pivotField dataField="1" numFmtId="3" showAll="0"/>
    <pivotField numFmtId="165" showAll="0"/>
    <pivotField numFmtId="165" showAll="0"/>
    <pivotField numFmtId="165" showAll="0"/>
    <pivotField numFmtId="3"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4">
    <i>
      <x/>
    </i>
    <i>
      <x v="1"/>
    </i>
    <i>
      <x v="2"/>
    </i>
    <i t="grand">
      <x/>
    </i>
  </rowItems>
  <colFields count="1">
    <field x="-2"/>
  </colFields>
  <colItems count="10">
    <i>
      <x/>
    </i>
    <i i="1">
      <x v="1"/>
    </i>
    <i i="2">
      <x v="2"/>
    </i>
    <i i="3">
      <x v="3"/>
    </i>
    <i i="4">
      <x v="4"/>
    </i>
    <i i="5">
      <x v="5"/>
    </i>
    <i i="6">
      <x v="6"/>
    </i>
    <i i="7">
      <x v="7"/>
    </i>
    <i i="8">
      <x v="8"/>
    </i>
    <i i="9">
      <x v="9"/>
    </i>
  </colItems>
  <dataFields count="10">
    <dataField name="Sum of Visits" fld="3" baseField="0" baseItem="0" numFmtId="3"/>
    <dataField name="Sum of Add_to_Cart" fld="4" baseField="0" baseItem="0" numFmtId="3"/>
    <dataField name="Sum of Checkout" fld="5" baseField="0" baseItem="0" numFmtId="3"/>
    <dataField name="Sum of Orders" fld="6" baseField="0" baseItem="0" numFmtId="3"/>
    <dataField name="Sum of Ad_Spend" fld="7" baseField="0" baseItem="0" numFmtId="3"/>
    <dataField name="ATC Rate" fld="12" baseField="0" baseItem="0" numFmtId="165"/>
    <dataField name="Checkout Rate" fld="13" baseField="0" baseItem="0" numFmtId="165"/>
    <dataField name="Order Completion" fld="14" baseField="0" baseItem="0" numFmtId="165"/>
    <dataField name="Conversion Rate" fld="15" baseField="0" baseItem="0" numFmtId="165"/>
    <dataField name="Cost per Order" fld="16" baseField="0" baseItem="0" numFmtId="3"/>
  </dataFields>
  <formats count="10">
    <format dxfId="22">
      <pivotArea type="all" dataOnly="0" outline="0" fieldPosition="0"/>
    </format>
    <format dxfId="21">
      <pivotArea outline="0" collapsedLevelsAreSubtotals="1" fieldPosition="0">
        <references count="1">
          <reference field="4294967294" count="4" selected="0">
            <x v="5"/>
            <x v="6"/>
            <x v="7"/>
            <x v="8"/>
          </reference>
        </references>
      </pivotArea>
    </format>
    <format dxfId="20">
      <pivotArea outline="0" collapsedLevelsAreSubtotals="1" fieldPosition="0">
        <references count="1">
          <reference field="4294967294" count="5" selected="0">
            <x v="0"/>
            <x v="1"/>
            <x v="2"/>
            <x v="3"/>
            <x v="4"/>
          </reference>
        </references>
      </pivotArea>
    </format>
    <format dxfId="19">
      <pivotArea outline="0" collapsedLevelsAreSubtotals="1" fieldPosition="0">
        <references count="1">
          <reference field="4294967294" count="1" selected="0">
            <x v="9"/>
          </reference>
        </references>
      </pivotArea>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1D7AE-C03F-43A8-8E32-923842A9E29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24:B31" firstHeaderRow="1" firstDataRow="1" firstDataCol="1"/>
  <pivotFields count="17">
    <pivotField numFmtId="164" showAll="0"/>
    <pivotField showAll="0"/>
    <pivotField axis="axisRow" showAll="0" measureFilter="1" sortType="descending">
      <items count="11">
        <item x="0"/>
        <item x="9"/>
        <item x="4"/>
        <item x="1"/>
        <item x="8"/>
        <item x="6"/>
        <item x="3"/>
        <item x="7"/>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3" showAll="0"/>
    <pivotField numFmtId="165" showAll="0"/>
    <pivotField numFmtId="165" showAll="0"/>
    <pivotField numFmtId="165" showAll="0"/>
    <pivotField numFmtId="3"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7">
    <i>
      <x v="8"/>
    </i>
    <i>
      <x v="6"/>
    </i>
    <i>
      <x v="1"/>
    </i>
    <i>
      <x v="2"/>
    </i>
    <i>
      <x v="7"/>
    </i>
    <i>
      <x v="4"/>
    </i>
    <i>
      <x/>
    </i>
  </rowItems>
  <colItems count="1">
    <i/>
  </colItems>
  <dataFields count="1">
    <dataField name="Sum of CPO_calc" fld="16" baseField="0" baseItem="0" numFmtId="3"/>
  </dataFields>
  <formats count="6">
    <format dxfId="28">
      <pivotArea outline="0" collapsedLevelsAreSubtotals="1" fieldPosition="0">
        <references count="1">
          <reference field="4294967294" count="1" selected="0">
            <x v="0"/>
          </reference>
        </references>
      </pivotArea>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7">
            <x v="0"/>
            <x v="1"/>
            <x v="2"/>
            <x v="4"/>
            <x v="6"/>
            <x v="7"/>
            <x v="8"/>
          </reference>
        </references>
      </pivotArea>
    </format>
    <format dxfId="23">
      <pivotArea dataOnly="0" labelOnly="1" outline="0" axis="axisValues" fieldPosition="0"/>
    </format>
  </formats>
  <conditionalFormats count="1">
    <conditionalFormat priority="1">
      <pivotAreas count="1">
        <pivotArea outline="0" fieldPosition="0">
          <references count="1">
            <reference field="4294967294" count="1">
              <x v="0"/>
            </reference>
          </references>
        </pivotArea>
      </pivotAreas>
    </conditionalFormat>
  </conditionalFormats>
  <chartFormats count="1">
    <chartFormat chart="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valueGreaterThan" evalOrder="-1" id="2"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7E002F-A379-4EDD-BDD9-AD182B7826F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3:E16" firstHeaderRow="0" firstDataRow="1" firstDataCol="1"/>
  <pivotFields count="17">
    <pivotField numFmtId="164" showAll="0"/>
    <pivotField axis="axisRow" showAll="0">
      <items count="4">
        <item x="1"/>
        <item x="2"/>
        <item x="0"/>
        <item t="default"/>
      </items>
    </pivotField>
    <pivotField showAll="0"/>
    <pivotField showAll="0"/>
    <pivotField showAll="0"/>
    <pivotField showAll="0"/>
    <pivotField showAll="0"/>
    <pivotField numFmtId="3" showAll="0"/>
    <pivotField numFmtId="165" showAll="0"/>
    <pivotField numFmtId="165" showAll="0"/>
    <pivotField numFmtId="165" showAll="0"/>
    <pivotField numFmtId="3"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Fields count="1">
    <field x="1"/>
  </rowFields>
  <rowItems count="3">
    <i>
      <x/>
    </i>
    <i>
      <x v="1"/>
    </i>
    <i>
      <x v="2"/>
    </i>
  </rowItems>
  <colFields count="1">
    <field x="-2"/>
  </colFields>
  <colItems count="4">
    <i>
      <x/>
    </i>
    <i i="1">
      <x v="1"/>
    </i>
    <i i="2">
      <x v="2"/>
    </i>
    <i i="3">
      <x v="3"/>
    </i>
  </colItems>
  <dataFields count="4">
    <dataField name="ATC Rate" fld="12" baseField="0" baseItem="0"/>
    <dataField name="Checkout Rate" fld="13" baseField="0" baseItem="0"/>
    <dataField name="Order Completion" fld="14" baseField="0" baseItem="0"/>
    <dataField name="Conversion Rate" fld="15" baseField="0" baseItem="0"/>
  </dataFields>
  <formats count="6">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outline="0" fieldPosition="0">
        <references count="1">
          <reference field="4294967294" count="4">
            <x v="0"/>
            <x v="1"/>
            <x v="2"/>
            <x v="3"/>
          </reference>
        </references>
      </pivotArea>
    </format>
    <format dxfId="29">
      <pivotArea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142505-7627-4DCD-8F2F-26B058E701F4}" name="MarketingFunnelTable" displayName="MarketingFunnelTable" ref="A1:L157" dataDxfId="12">
  <tableColumns count="12">
    <tableColumn id="1" xr3:uid="{9B0D1FE7-9D97-4EB3-A446-82B506A8BB91}" name="Week_Start" dataDxfId="11"/>
    <tableColumn id="2" xr3:uid="{B4BD0167-DBAD-4F87-902E-DA92379EAA28}" name="Channel" dataDxfId="10"/>
    <tableColumn id="3" xr3:uid="{C86AA7C5-DA3A-401B-B587-ADDC4AA90851}" name="Campaign" dataDxfId="9"/>
    <tableColumn id="4" xr3:uid="{095712AD-2F78-4581-A6E9-5D55C7743C5C}" name="Visits" dataDxfId="8"/>
    <tableColumn id="5" xr3:uid="{6A29C3A2-35D1-4AF3-8994-322CA46BE360}" name="Add_to_Cart" dataDxfId="7"/>
    <tableColumn id="6" xr3:uid="{81B5CFC9-8C42-4DDE-8273-3FDE2EB8C1AB}" name="Checkout" dataDxfId="6"/>
    <tableColumn id="7" xr3:uid="{4E66810A-F976-4134-B84D-69391F8A941A}" name="Orders" dataDxfId="5"/>
    <tableColumn id="8" xr3:uid="{8427C5B4-AB73-4696-A813-E97D450EAEC1}" name="Ad_Spend" dataDxfId="4"/>
    <tableColumn id="9" xr3:uid="{09D7CA0D-43B3-4122-B938-7DC6E9909092}" name="ATC_Rate" dataDxfId="3">
      <calculatedColumnFormula>IFERROR(E2/D2,0)</calculatedColumnFormula>
    </tableColumn>
    <tableColumn id="10" xr3:uid="{69944FA8-8DBD-422E-886A-13FADA4F951F}" name="Checkout_Rate" dataDxfId="2">
      <calculatedColumnFormula>IFERROR(F2/E2,0)</calculatedColumnFormula>
    </tableColumn>
    <tableColumn id="11" xr3:uid="{DD176115-F894-46DA-8325-DBE2EB3E8CAE}" name="Conversion_Rate" dataDxfId="1">
      <calculatedColumnFormula>IFERROR(G2/D2,0)</calculatedColumnFormula>
    </tableColumn>
    <tableColumn id="12" xr3:uid="{96E13945-55FC-4D7A-9BB2-6E0729C22E55}" name="Cost_per_Order" dataDxfId="0">
      <calculatedColumnFormula>IFERROR(H2/G2,0)</calculatedColumnFormula>
    </tableColumn>
  </tableColumns>
  <tableStyleInfo name="Marketing_Funne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93AA5-5A7C-4982-96AD-DC916C64D367}">
  <dimension ref="A1:N54"/>
  <sheetViews>
    <sheetView showGridLines="0" zoomScale="70" zoomScaleNormal="70" workbookViewId="0">
      <selection activeCell="N50" sqref="N50"/>
    </sheetView>
  </sheetViews>
  <sheetFormatPr defaultRowHeight="14"/>
  <cols>
    <col min="3" max="3" width="12.4140625" customWidth="1"/>
    <col min="4" max="4" width="12.83203125" customWidth="1"/>
    <col min="5" max="6" width="12.75" customWidth="1"/>
    <col min="7" max="7" width="14.1640625" customWidth="1"/>
    <col min="8" max="8" width="14.25" customWidth="1"/>
    <col min="9" max="9" width="15.83203125" customWidth="1"/>
    <col min="11" max="11" width="15.6640625" customWidth="1"/>
    <col min="12" max="12" width="10.33203125" customWidth="1"/>
  </cols>
  <sheetData>
    <row r="1" spans="1:14" ht="14" customHeight="1">
      <c r="A1" s="29" t="s">
        <v>44</v>
      </c>
      <c r="B1" s="30"/>
      <c r="C1" s="30"/>
      <c r="D1" s="30"/>
      <c r="E1" s="30"/>
      <c r="F1" s="30"/>
      <c r="G1" s="30"/>
      <c r="H1" s="30"/>
      <c r="I1" s="30"/>
      <c r="J1" s="30"/>
      <c r="M1" s="14"/>
      <c r="N1" s="14"/>
    </row>
    <row r="2" spans="1:14" ht="6" customHeight="1">
      <c r="A2" s="29"/>
      <c r="B2" s="30"/>
      <c r="C2" s="30"/>
      <c r="D2" s="30"/>
      <c r="E2" s="30"/>
      <c r="F2" s="30"/>
      <c r="G2" s="30"/>
      <c r="H2" s="30"/>
      <c r="I2" s="30"/>
      <c r="J2" s="30"/>
      <c r="M2" s="14"/>
      <c r="N2" s="14"/>
    </row>
    <row r="3" spans="1:14" ht="7" customHeight="1">
      <c r="A3" s="29"/>
      <c r="B3" s="30"/>
      <c r="C3" s="30"/>
      <c r="D3" s="30"/>
      <c r="E3" s="30"/>
      <c r="F3" s="30"/>
      <c r="G3" s="30"/>
      <c r="H3" s="30"/>
      <c r="I3" s="30"/>
      <c r="J3" s="30"/>
      <c r="M3" s="14"/>
      <c r="N3" s="14"/>
    </row>
    <row r="4" spans="1:14" ht="14" hidden="1" customHeight="1">
      <c r="A4" s="29"/>
      <c r="B4" s="30"/>
      <c r="C4" s="30"/>
      <c r="D4" s="30"/>
      <c r="E4" s="30"/>
      <c r="F4" s="30"/>
      <c r="G4" s="30"/>
      <c r="H4" s="30"/>
      <c r="I4" s="30"/>
      <c r="J4" s="30"/>
      <c r="M4" s="14"/>
      <c r="N4" s="14"/>
    </row>
    <row r="5" spans="1:14" ht="1" customHeight="1">
      <c r="A5" s="31"/>
      <c r="B5" s="32"/>
      <c r="C5" s="32"/>
      <c r="D5" s="32"/>
      <c r="E5" s="32"/>
      <c r="F5" s="32"/>
      <c r="G5" s="32"/>
      <c r="H5" s="32"/>
      <c r="I5" s="32"/>
      <c r="J5" s="32"/>
      <c r="M5" s="14"/>
      <c r="N5" s="14"/>
    </row>
    <row r="6" spans="1:14">
      <c r="A6" s="20" t="s">
        <v>45</v>
      </c>
      <c r="B6" s="20"/>
      <c r="C6" s="20"/>
      <c r="D6" s="20"/>
      <c r="E6" s="20"/>
      <c r="F6" s="20"/>
      <c r="G6" s="20"/>
      <c r="H6" s="20"/>
      <c r="I6" s="20"/>
      <c r="J6" s="21"/>
    </row>
    <row r="7" spans="1:14" ht="14" customHeight="1">
      <c r="A7" s="22"/>
      <c r="B7" s="22"/>
      <c r="C7" s="22"/>
      <c r="D7" s="22"/>
      <c r="E7" s="22"/>
      <c r="F7" s="22"/>
      <c r="G7" s="22"/>
      <c r="H7" s="22"/>
      <c r="I7" s="22"/>
      <c r="J7" s="23"/>
    </row>
    <row r="8" spans="1:14" ht="14" customHeight="1">
      <c r="A8" s="22"/>
      <c r="B8" s="22"/>
      <c r="C8" s="22"/>
      <c r="D8" s="22"/>
      <c r="E8" s="22"/>
      <c r="F8" s="22"/>
      <c r="G8" s="22"/>
      <c r="H8" s="22"/>
      <c r="I8" s="22"/>
      <c r="J8" s="23"/>
    </row>
    <row r="9" spans="1:14" ht="14" customHeight="1">
      <c r="A9" s="22"/>
      <c r="B9" s="22"/>
      <c r="C9" s="22"/>
      <c r="D9" s="22"/>
      <c r="E9" s="22"/>
      <c r="F9" s="22"/>
      <c r="G9" s="22"/>
      <c r="H9" s="22"/>
      <c r="I9" s="22"/>
      <c r="J9" s="23"/>
    </row>
    <row r="10" spans="1:14" ht="14" customHeight="1">
      <c r="A10" s="24"/>
      <c r="B10" s="24"/>
      <c r="C10" s="24"/>
      <c r="D10" s="24"/>
      <c r="E10" s="24"/>
      <c r="F10" s="24"/>
      <c r="G10" s="24"/>
      <c r="H10" s="24"/>
      <c r="I10" s="24"/>
      <c r="J10" s="25"/>
    </row>
    <row r="11" spans="1:14" ht="14" customHeight="1"/>
    <row r="12" spans="1:14" ht="14" customHeight="1">
      <c r="A12" s="33" t="s">
        <v>46</v>
      </c>
      <c r="B12" s="34"/>
      <c r="C12" s="34"/>
      <c r="D12" s="34"/>
      <c r="E12" s="34"/>
      <c r="F12" s="34"/>
      <c r="G12" s="34"/>
      <c r="H12" s="34"/>
      <c r="I12" s="34"/>
      <c r="J12" s="34"/>
    </row>
    <row r="13" spans="1:14" ht="14" customHeight="1">
      <c r="A13" s="33"/>
      <c r="B13" s="34"/>
      <c r="C13" s="34"/>
      <c r="D13" s="34"/>
      <c r="E13" s="34"/>
      <c r="F13" s="34"/>
      <c r="G13" s="34"/>
      <c r="H13" s="34"/>
      <c r="I13" s="34"/>
      <c r="J13" s="34"/>
    </row>
    <row r="14" spans="1:14" ht="1" customHeight="1">
      <c r="A14" s="33"/>
      <c r="B14" s="34"/>
      <c r="C14" s="34"/>
      <c r="D14" s="34"/>
      <c r="E14" s="34"/>
      <c r="F14" s="34"/>
      <c r="G14" s="34"/>
      <c r="H14" s="34"/>
      <c r="I14" s="34"/>
      <c r="J14" s="34"/>
    </row>
    <row r="15" spans="1:14" ht="14" hidden="1" customHeight="1">
      <c r="A15" s="33"/>
      <c r="B15" s="34"/>
      <c r="C15" s="34"/>
      <c r="D15" s="34"/>
      <c r="E15" s="34"/>
      <c r="F15" s="34"/>
      <c r="G15" s="34"/>
      <c r="H15" s="34"/>
      <c r="I15" s="34"/>
      <c r="J15" s="34"/>
    </row>
    <row r="16" spans="1:14" ht="14" hidden="1" customHeight="1">
      <c r="A16" s="33"/>
      <c r="B16" s="34"/>
      <c r="C16" s="34"/>
      <c r="D16" s="34"/>
      <c r="E16" s="34"/>
      <c r="F16" s="34"/>
      <c r="G16" s="34"/>
      <c r="H16" s="34"/>
      <c r="I16" s="34"/>
      <c r="J16" s="34"/>
    </row>
    <row r="17" spans="1:10" ht="14" hidden="1" customHeight="1">
      <c r="A17" s="33"/>
      <c r="B17" s="34"/>
      <c r="C17" s="34"/>
      <c r="D17" s="34"/>
      <c r="E17" s="34"/>
      <c r="F17" s="34"/>
      <c r="G17" s="34"/>
      <c r="H17" s="34"/>
      <c r="I17" s="34"/>
      <c r="J17" s="34"/>
    </row>
    <row r="18" spans="1:10">
      <c r="A18" s="26" t="s">
        <v>47</v>
      </c>
      <c r="B18" s="20"/>
      <c r="C18" s="20"/>
      <c r="D18" s="20"/>
      <c r="E18" s="20"/>
      <c r="F18" s="20"/>
      <c r="G18" s="20"/>
      <c r="H18" s="20"/>
      <c r="I18" s="20"/>
      <c r="J18" s="21"/>
    </row>
    <row r="19" spans="1:10">
      <c r="A19" s="27"/>
      <c r="B19" s="22"/>
      <c r="C19" s="22"/>
      <c r="D19" s="22"/>
      <c r="E19" s="22"/>
      <c r="F19" s="22"/>
      <c r="G19" s="22"/>
      <c r="H19" s="22"/>
      <c r="I19" s="22"/>
      <c r="J19" s="23"/>
    </row>
    <row r="20" spans="1:10">
      <c r="A20" s="27"/>
      <c r="B20" s="22"/>
      <c r="C20" s="22"/>
      <c r="D20" s="22"/>
      <c r="E20" s="22"/>
      <c r="F20" s="22"/>
      <c r="G20" s="22"/>
      <c r="H20" s="22"/>
      <c r="I20" s="22"/>
      <c r="J20" s="23"/>
    </row>
    <row r="21" spans="1:10">
      <c r="A21" s="27"/>
      <c r="B21" s="22"/>
      <c r="C21" s="22"/>
      <c r="D21" s="22"/>
      <c r="E21" s="22"/>
      <c r="F21" s="22"/>
      <c r="G21" s="22"/>
      <c r="H21" s="22"/>
      <c r="I21" s="22"/>
      <c r="J21" s="23"/>
    </row>
    <row r="22" spans="1:10">
      <c r="A22" s="27"/>
      <c r="B22" s="22"/>
      <c r="C22" s="22"/>
      <c r="D22" s="22"/>
      <c r="E22" s="22"/>
      <c r="F22" s="22"/>
      <c r="G22" s="22"/>
      <c r="H22" s="22"/>
      <c r="I22" s="22"/>
      <c r="J22" s="23"/>
    </row>
    <row r="23" spans="1:10">
      <c r="A23" s="28"/>
      <c r="B23" s="24"/>
      <c r="C23" s="24"/>
      <c r="D23" s="24"/>
      <c r="E23" s="24"/>
      <c r="F23" s="24"/>
      <c r="G23" s="24"/>
      <c r="H23" s="24"/>
      <c r="I23" s="24"/>
      <c r="J23" s="25"/>
    </row>
    <row r="25" spans="1:10" ht="14" customHeight="1">
      <c r="A25" s="33" t="s">
        <v>48</v>
      </c>
      <c r="B25" s="34"/>
      <c r="C25" s="34"/>
      <c r="D25" s="34"/>
      <c r="E25" s="34"/>
      <c r="F25" s="34"/>
      <c r="G25" s="34"/>
      <c r="H25" s="34"/>
      <c r="I25" s="34"/>
      <c r="J25" s="34"/>
    </row>
    <row r="26" spans="1:10" ht="14" customHeight="1">
      <c r="A26" s="33"/>
      <c r="B26" s="34"/>
      <c r="C26" s="34"/>
      <c r="D26" s="34"/>
      <c r="E26" s="34"/>
      <c r="F26" s="34"/>
      <c r="G26" s="34"/>
      <c r="H26" s="34"/>
      <c r="I26" s="34"/>
      <c r="J26" s="34"/>
    </row>
    <row r="27" spans="1:10" ht="8.5" customHeight="1">
      <c r="A27" s="33"/>
      <c r="B27" s="34"/>
      <c r="C27" s="34"/>
      <c r="D27" s="34"/>
      <c r="E27" s="34"/>
      <c r="F27" s="34"/>
      <c r="G27" s="34"/>
      <c r="H27" s="34"/>
      <c r="I27" s="34"/>
      <c r="J27" s="34"/>
    </row>
    <row r="28" spans="1:10" ht="14" hidden="1" customHeight="1">
      <c r="A28" s="33"/>
      <c r="B28" s="34"/>
      <c r="C28" s="34"/>
      <c r="D28" s="34"/>
      <c r="E28" s="34"/>
      <c r="F28" s="34"/>
      <c r="G28" s="34"/>
      <c r="H28" s="34"/>
      <c r="I28" s="34"/>
      <c r="J28" s="34"/>
    </row>
    <row r="29" spans="1:10" ht="14" hidden="1" customHeight="1">
      <c r="A29" s="33"/>
      <c r="B29" s="34"/>
      <c r="C29" s="34"/>
      <c r="D29" s="34"/>
      <c r="E29" s="34"/>
      <c r="F29" s="34"/>
      <c r="G29" s="34"/>
      <c r="H29" s="34"/>
      <c r="I29" s="34"/>
      <c r="J29" s="34"/>
    </row>
    <row r="30" spans="1:10" ht="14" hidden="1" customHeight="1">
      <c r="A30" s="33"/>
      <c r="B30" s="34"/>
      <c r="C30" s="34"/>
      <c r="D30" s="34"/>
      <c r="E30" s="34"/>
      <c r="F30" s="34"/>
      <c r="G30" s="34"/>
      <c r="H30" s="34"/>
      <c r="I30" s="34"/>
      <c r="J30" s="34"/>
    </row>
    <row r="31" spans="1:10">
      <c r="A31" s="20" t="s">
        <v>49</v>
      </c>
      <c r="B31" s="20"/>
      <c r="C31" s="20"/>
      <c r="D31" s="20"/>
      <c r="E31" s="20"/>
      <c r="F31" s="20"/>
      <c r="G31" s="20"/>
      <c r="H31" s="20"/>
      <c r="I31" s="20"/>
      <c r="J31" s="21"/>
    </row>
    <row r="32" spans="1:10">
      <c r="A32" s="22"/>
      <c r="B32" s="22"/>
      <c r="C32" s="22"/>
      <c r="D32" s="22"/>
      <c r="E32" s="22"/>
      <c r="F32" s="22"/>
      <c r="G32" s="22"/>
      <c r="H32" s="22"/>
      <c r="I32" s="22"/>
      <c r="J32" s="23"/>
    </row>
    <row r="33" spans="1:10">
      <c r="A33" s="22"/>
      <c r="B33" s="22"/>
      <c r="C33" s="22"/>
      <c r="D33" s="22"/>
      <c r="E33" s="22"/>
      <c r="F33" s="22"/>
      <c r="G33" s="22"/>
      <c r="H33" s="22"/>
      <c r="I33" s="22"/>
      <c r="J33" s="23"/>
    </row>
    <row r="34" spans="1:10">
      <c r="A34" s="22"/>
      <c r="B34" s="22"/>
      <c r="C34" s="22"/>
      <c r="D34" s="22"/>
      <c r="E34" s="22"/>
      <c r="F34" s="22"/>
      <c r="G34" s="22"/>
      <c r="H34" s="22"/>
      <c r="I34" s="22"/>
      <c r="J34" s="23"/>
    </row>
    <row r="35" spans="1:10">
      <c r="A35" s="22"/>
      <c r="B35" s="22"/>
      <c r="C35" s="22"/>
      <c r="D35" s="22"/>
      <c r="E35" s="22"/>
      <c r="F35" s="22"/>
      <c r="G35" s="22"/>
      <c r="H35" s="22"/>
      <c r="I35" s="22"/>
      <c r="J35" s="23"/>
    </row>
    <row r="36" spans="1:10">
      <c r="A36" s="24"/>
      <c r="B36" s="24"/>
      <c r="C36" s="24"/>
      <c r="D36" s="24"/>
      <c r="E36" s="24"/>
      <c r="F36" s="24"/>
      <c r="G36" s="24"/>
      <c r="H36" s="24"/>
      <c r="I36" s="24"/>
      <c r="J36" s="25"/>
    </row>
    <row r="37" spans="1:10">
      <c r="A37" s="15"/>
      <c r="B37" s="15"/>
    </row>
    <row r="38" spans="1:10" ht="14" customHeight="1">
      <c r="A38" s="29" t="s">
        <v>50</v>
      </c>
      <c r="B38" s="30"/>
      <c r="C38" s="30"/>
      <c r="D38" s="30"/>
      <c r="E38" s="30"/>
      <c r="F38" s="30"/>
      <c r="G38" s="30"/>
      <c r="H38" s="30"/>
      <c r="I38" s="30"/>
      <c r="J38" s="30"/>
    </row>
    <row r="39" spans="1:10" ht="14" customHeight="1">
      <c r="A39" s="29"/>
      <c r="B39" s="30"/>
      <c r="C39" s="30"/>
      <c r="D39" s="30"/>
      <c r="E39" s="30"/>
      <c r="F39" s="30"/>
      <c r="G39" s="30"/>
      <c r="H39" s="30"/>
      <c r="I39" s="30"/>
      <c r="J39" s="30"/>
    </row>
    <row r="40" spans="1:10" ht="8" customHeight="1">
      <c r="A40" s="29"/>
      <c r="B40" s="30"/>
      <c r="C40" s="30"/>
      <c r="D40" s="30"/>
      <c r="E40" s="30"/>
      <c r="F40" s="30"/>
      <c r="G40" s="30"/>
      <c r="H40" s="30"/>
      <c r="I40" s="30"/>
      <c r="J40" s="30"/>
    </row>
    <row r="41" spans="1:10" ht="14" hidden="1" customHeight="1">
      <c r="A41" s="29"/>
      <c r="B41" s="30"/>
      <c r="C41" s="30"/>
      <c r="D41" s="30"/>
      <c r="E41" s="30"/>
      <c r="F41" s="30"/>
      <c r="G41" s="30"/>
      <c r="H41" s="30"/>
      <c r="I41" s="30"/>
      <c r="J41" s="30"/>
    </row>
    <row r="42" spans="1:10" ht="14" hidden="1" customHeight="1">
      <c r="A42" s="29"/>
      <c r="B42" s="30"/>
      <c r="C42" s="30"/>
      <c r="D42" s="30"/>
      <c r="E42" s="30"/>
      <c r="F42" s="30"/>
      <c r="G42" s="30"/>
      <c r="H42" s="30"/>
      <c r="I42" s="30"/>
      <c r="J42" s="30"/>
    </row>
    <row r="43" spans="1:10" ht="14" hidden="1" customHeight="1">
      <c r="A43" s="29"/>
      <c r="B43" s="30"/>
      <c r="C43" s="30"/>
      <c r="D43" s="30"/>
      <c r="E43" s="30"/>
      <c r="F43" s="30"/>
      <c r="G43" s="30"/>
      <c r="H43" s="30"/>
      <c r="I43" s="30"/>
      <c r="J43" s="30"/>
    </row>
    <row r="44" spans="1:10" ht="14" hidden="1" customHeight="1">
      <c r="A44" s="29"/>
      <c r="B44" s="30"/>
      <c r="C44" s="30"/>
      <c r="D44" s="30"/>
      <c r="E44" s="30"/>
      <c r="F44" s="30"/>
      <c r="G44" s="30"/>
      <c r="H44" s="30"/>
      <c r="I44" s="30"/>
      <c r="J44" s="30"/>
    </row>
    <row r="45" spans="1:10">
      <c r="A45" s="20" t="s">
        <v>51</v>
      </c>
      <c r="B45" s="20"/>
      <c r="C45" s="20"/>
      <c r="D45" s="20"/>
      <c r="E45" s="20"/>
      <c r="F45" s="20"/>
      <c r="G45" s="20"/>
      <c r="H45" s="20"/>
      <c r="I45" s="20"/>
      <c r="J45" s="21"/>
    </row>
    <row r="46" spans="1:10">
      <c r="A46" s="22"/>
      <c r="B46" s="22"/>
      <c r="C46" s="22"/>
      <c r="D46" s="22"/>
      <c r="E46" s="22"/>
      <c r="F46" s="22"/>
      <c r="G46" s="22"/>
      <c r="H46" s="22"/>
      <c r="I46" s="22"/>
      <c r="J46" s="23"/>
    </row>
    <row r="47" spans="1:10">
      <c r="A47" s="22"/>
      <c r="B47" s="22"/>
      <c r="C47" s="22"/>
      <c r="D47" s="22"/>
      <c r="E47" s="22"/>
      <c r="F47" s="22"/>
      <c r="G47" s="22"/>
      <c r="H47" s="22"/>
      <c r="I47" s="22"/>
      <c r="J47" s="23"/>
    </row>
    <row r="48" spans="1:10">
      <c r="A48" s="22"/>
      <c r="B48" s="22"/>
      <c r="C48" s="22"/>
      <c r="D48" s="22"/>
      <c r="E48" s="22"/>
      <c r="F48" s="22"/>
      <c r="G48" s="22"/>
      <c r="H48" s="22"/>
      <c r="I48" s="22"/>
      <c r="J48" s="23"/>
    </row>
    <row r="49" spans="1:10">
      <c r="A49" s="22"/>
      <c r="B49" s="22"/>
      <c r="C49" s="22"/>
      <c r="D49" s="22"/>
      <c r="E49" s="22"/>
      <c r="F49" s="22"/>
      <c r="G49" s="22"/>
      <c r="H49" s="22"/>
      <c r="I49" s="22"/>
      <c r="J49" s="23"/>
    </row>
    <row r="50" spans="1:10">
      <c r="A50" s="22"/>
      <c r="B50" s="22"/>
      <c r="C50" s="22"/>
      <c r="D50" s="22"/>
      <c r="E50" s="22"/>
      <c r="F50" s="22"/>
      <c r="G50" s="22"/>
      <c r="H50" s="22"/>
      <c r="I50" s="22"/>
      <c r="J50" s="23"/>
    </row>
    <row r="51" spans="1:10" ht="23.5" customHeight="1">
      <c r="A51" s="24"/>
      <c r="B51" s="24"/>
      <c r="C51" s="24"/>
      <c r="D51" s="24"/>
      <c r="E51" s="24"/>
      <c r="F51" s="24"/>
      <c r="G51" s="24"/>
      <c r="H51" s="24"/>
      <c r="I51" s="24"/>
      <c r="J51" s="25"/>
    </row>
    <row r="53" spans="1:10" ht="33.5" customHeight="1">
      <c r="A53" s="34" t="s">
        <v>55</v>
      </c>
      <c r="B53" s="34"/>
      <c r="C53" s="34"/>
      <c r="D53" s="34"/>
      <c r="E53" s="34"/>
      <c r="F53" s="34"/>
      <c r="G53" s="34"/>
      <c r="H53" s="34"/>
      <c r="I53" s="34"/>
      <c r="J53" s="34"/>
    </row>
    <row r="54" spans="1:10" ht="206.5" customHeight="1">
      <c r="A54" s="22" t="s">
        <v>56</v>
      </c>
      <c r="B54" s="39"/>
      <c r="C54" s="39"/>
      <c r="D54" s="39"/>
      <c r="E54" s="39"/>
      <c r="F54" s="39"/>
      <c r="G54" s="39"/>
      <c r="H54" s="39"/>
      <c r="I54" s="39"/>
      <c r="J54" s="39"/>
    </row>
  </sheetData>
  <mergeCells count="10">
    <mergeCell ref="A53:J53"/>
    <mergeCell ref="A54:J54"/>
    <mergeCell ref="A6:J10"/>
    <mergeCell ref="A45:J51"/>
    <mergeCell ref="A18:J23"/>
    <mergeCell ref="A31:J36"/>
    <mergeCell ref="A1:J5"/>
    <mergeCell ref="A12:J17"/>
    <mergeCell ref="A25:J30"/>
    <mergeCell ref="A38:J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B1D-D326-4BEB-81BF-A615BDE5629E}">
  <dimension ref="A2:AH47"/>
  <sheetViews>
    <sheetView showGridLines="0" zoomScale="40" zoomScaleNormal="40" workbookViewId="0">
      <selection activeCell="AL35" sqref="AL35"/>
    </sheetView>
  </sheetViews>
  <sheetFormatPr defaultRowHeight="14"/>
  <sheetData>
    <row r="2" spans="1:34" ht="29" customHeight="1">
      <c r="A2" s="35" t="s">
        <v>37</v>
      </c>
      <c r="B2" s="35"/>
      <c r="C2" s="35"/>
      <c r="D2" s="35"/>
      <c r="E2" s="35"/>
      <c r="F2" s="35"/>
      <c r="G2" s="35"/>
      <c r="H2" s="35"/>
      <c r="I2" s="35"/>
      <c r="J2" s="35"/>
      <c r="K2" s="35"/>
      <c r="L2" s="35"/>
      <c r="M2" s="35"/>
      <c r="N2" s="35"/>
      <c r="O2" s="35"/>
      <c r="P2" s="35"/>
      <c r="Q2" s="35"/>
      <c r="R2" s="35"/>
      <c r="S2" s="35"/>
      <c r="T2" s="35"/>
      <c r="U2" s="35"/>
      <c r="V2" s="35"/>
      <c r="W2" s="35"/>
      <c r="X2" s="35"/>
      <c r="Y2" s="35" t="s">
        <v>43</v>
      </c>
      <c r="Z2" s="35"/>
      <c r="AA2" s="35"/>
      <c r="AB2" s="35"/>
      <c r="AC2" s="35"/>
      <c r="AD2" s="35"/>
      <c r="AE2" s="35"/>
      <c r="AF2" s="35"/>
      <c r="AG2" s="35"/>
      <c r="AH2" s="35"/>
    </row>
    <row r="28" spans="1:34" ht="26.5" customHeight="1">
      <c r="A28" s="35" t="s">
        <v>52</v>
      </c>
      <c r="B28" s="35"/>
      <c r="C28" s="35"/>
      <c r="D28" s="35"/>
      <c r="E28" s="35"/>
      <c r="F28" s="35"/>
      <c r="G28" s="35"/>
      <c r="H28" s="35"/>
      <c r="I28" s="35"/>
      <c r="J28" s="35"/>
      <c r="K28" s="35"/>
      <c r="L28" s="35"/>
      <c r="M28" s="35"/>
      <c r="N28" s="35"/>
      <c r="O28" s="35"/>
      <c r="P28" s="35"/>
      <c r="Q28" s="35"/>
      <c r="R28" s="35"/>
      <c r="S28" s="35"/>
      <c r="T28" s="35"/>
      <c r="U28" s="35"/>
      <c r="V28" s="35"/>
      <c r="W28" s="35"/>
      <c r="Y28" s="35" t="s">
        <v>53</v>
      </c>
      <c r="Z28" s="35"/>
      <c r="AA28" s="35"/>
      <c r="AB28" s="35"/>
      <c r="AC28" s="35"/>
      <c r="AD28" s="35"/>
      <c r="AE28" s="35"/>
      <c r="AF28" s="35"/>
      <c r="AG28" s="35"/>
      <c r="AH28" s="35"/>
    </row>
    <row r="47" spans="1:34" ht="26.5" customHeight="1">
      <c r="A47" s="35" t="s">
        <v>54</v>
      </c>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row>
  </sheetData>
  <mergeCells count="5">
    <mergeCell ref="A2:X2"/>
    <mergeCell ref="Y2:AH2"/>
    <mergeCell ref="A47:AH47"/>
    <mergeCell ref="A28:W28"/>
    <mergeCell ref="Y28:AH2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275F-0968-4D05-8F16-D5E189885B17}">
  <dimension ref="A1:K62"/>
  <sheetViews>
    <sheetView tabSelected="1" zoomScale="70" zoomScaleNormal="70" workbookViewId="0">
      <selection activeCell="K19" sqref="K19"/>
    </sheetView>
  </sheetViews>
  <sheetFormatPr defaultRowHeight="14"/>
  <cols>
    <col min="1" max="1" width="15.6640625" style="2" bestFit="1" customWidth="1"/>
    <col min="2" max="2" width="15.83203125" style="2" bestFit="1" customWidth="1"/>
    <col min="3" max="3" width="15" style="2" bestFit="1" customWidth="1"/>
    <col min="4" max="6" width="15.83203125" style="2" bestFit="1" customWidth="1"/>
    <col min="7" max="7" width="14.6640625" style="2" bestFit="1" customWidth="1"/>
    <col min="8" max="9" width="18.75" style="2" bestFit="1" customWidth="1"/>
    <col min="10" max="10" width="14.9140625" style="2" bestFit="1" customWidth="1"/>
    <col min="11" max="11" width="15.4140625" style="2" bestFit="1" customWidth="1"/>
    <col min="12" max="16384" width="8.6640625" style="2"/>
  </cols>
  <sheetData>
    <row r="1" spans="1:11" ht="15">
      <c r="A1" s="34" t="s">
        <v>37</v>
      </c>
      <c r="B1" s="34"/>
      <c r="C1" s="34"/>
      <c r="D1" s="34"/>
      <c r="E1" s="34"/>
      <c r="F1" s="34"/>
      <c r="G1" s="34"/>
      <c r="H1" s="34"/>
      <c r="I1" s="34"/>
      <c r="J1" s="34"/>
      <c r="K1" s="34"/>
    </row>
    <row r="3" spans="1:11">
      <c r="A3" s="3" t="s">
        <v>25</v>
      </c>
      <c r="B3" s="2" t="s">
        <v>27</v>
      </c>
      <c r="C3" s="2" t="s">
        <v>28</v>
      </c>
      <c r="D3" s="2" t="s">
        <v>29</v>
      </c>
      <c r="E3" s="2" t="s">
        <v>30</v>
      </c>
      <c r="F3" s="2" t="s">
        <v>31</v>
      </c>
      <c r="G3" s="2" t="s">
        <v>32</v>
      </c>
      <c r="H3" s="2" t="s">
        <v>33</v>
      </c>
      <c r="I3" s="2" t="s">
        <v>34</v>
      </c>
      <c r="J3" s="2" t="s">
        <v>35</v>
      </c>
      <c r="K3" s="2" t="s">
        <v>36</v>
      </c>
    </row>
    <row r="4" spans="1:11">
      <c r="A4" s="4" t="s">
        <v>14</v>
      </c>
      <c r="B4" s="5">
        <v>55560</v>
      </c>
      <c r="C4" s="5">
        <v>16473</v>
      </c>
      <c r="D4" s="5">
        <v>10824</v>
      </c>
      <c r="E4" s="5">
        <v>8413</v>
      </c>
      <c r="F4" s="5">
        <v>205019000</v>
      </c>
      <c r="G4" s="6">
        <v>0.29649028077753781</v>
      </c>
      <c r="H4" s="6">
        <v>0.65707521398652335</v>
      </c>
      <c r="I4" s="6">
        <v>0.7772542498152254</v>
      </c>
      <c r="J4" s="6">
        <v>0.15142188624910008</v>
      </c>
      <c r="K4" s="5">
        <v>24369.309402115774</v>
      </c>
    </row>
    <row r="5" spans="1:11">
      <c r="A5" s="4" t="s">
        <v>16</v>
      </c>
      <c r="B5" s="5">
        <v>32018</v>
      </c>
      <c r="C5" s="5">
        <v>6918</v>
      </c>
      <c r="D5" s="5">
        <v>3973</v>
      </c>
      <c r="E5" s="5">
        <v>2642</v>
      </c>
      <c r="F5" s="5">
        <v>128376000</v>
      </c>
      <c r="G5" s="6">
        <v>0.21606596289587107</v>
      </c>
      <c r="H5" s="6">
        <v>0.574298930326684</v>
      </c>
      <c r="I5" s="6">
        <v>0.66498867354643842</v>
      </c>
      <c r="J5" s="6">
        <v>8.2516084702354928E-2</v>
      </c>
      <c r="K5" s="5">
        <v>48590.461771385315</v>
      </c>
    </row>
    <row r="6" spans="1:11">
      <c r="A6" s="4" t="s">
        <v>12</v>
      </c>
      <c r="B6" s="5">
        <v>41512</v>
      </c>
      <c r="C6" s="5">
        <v>10328</v>
      </c>
      <c r="D6" s="5">
        <v>6789</v>
      </c>
      <c r="E6" s="5">
        <v>4948</v>
      </c>
      <c r="F6" s="5">
        <v>110787000</v>
      </c>
      <c r="G6" s="6">
        <v>0.24879552900366159</v>
      </c>
      <c r="H6" s="6">
        <v>0.65733927188226182</v>
      </c>
      <c r="I6" s="6">
        <v>0.72882604212697011</v>
      </c>
      <c r="J6" s="6">
        <v>0.11919444979764887</v>
      </c>
      <c r="K6" s="5">
        <v>22390.258690379953</v>
      </c>
    </row>
    <row r="7" spans="1:11">
      <c r="A7" s="4" t="s">
        <v>26</v>
      </c>
      <c r="B7" s="5">
        <v>129090</v>
      </c>
      <c r="C7" s="5">
        <v>33719</v>
      </c>
      <c r="D7" s="5">
        <v>21586</v>
      </c>
      <c r="E7" s="5">
        <v>16003</v>
      </c>
      <c r="F7" s="5">
        <v>444182000</v>
      </c>
      <c r="G7" s="6">
        <v>0.26120536060113098</v>
      </c>
      <c r="H7" s="6">
        <v>0.64017319612088142</v>
      </c>
      <c r="I7" s="6">
        <v>0.74136014083202073</v>
      </c>
      <c r="J7" s="6">
        <v>0.12396777442094663</v>
      </c>
      <c r="K7" s="5">
        <v>27756.170717990375</v>
      </c>
    </row>
    <row r="11" spans="1:11" ht="15">
      <c r="A11" s="34" t="s">
        <v>38</v>
      </c>
      <c r="B11" s="34"/>
      <c r="C11" s="34"/>
      <c r="D11" s="34"/>
      <c r="E11" s="34"/>
      <c r="G11" s="38" t="s">
        <v>40</v>
      </c>
      <c r="H11" s="38"/>
      <c r="I11" s="38"/>
      <c r="J11" s="38"/>
      <c r="K11" s="38"/>
    </row>
    <row r="12" spans="1:11">
      <c r="G12" s="36" t="s">
        <v>14</v>
      </c>
      <c r="H12" s="10" t="s">
        <v>3</v>
      </c>
      <c r="I12" s="11" t="s">
        <v>39</v>
      </c>
      <c r="J12" s="11" t="s">
        <v>5</v>
      </c>
      <c r="K12" s="12" t="s">
        <v>6</v>
      </c>
    </row>
    <row r="13" spans="1:11">
      <c r="A13" s="3" t="s">
        <v>25</v>
      </c>
      <c r="B13" s="2" t="s">
        <v>32</v>
      </c>
      <c r="C13" s="2" t="s">
        <v>33</v>
      </c>
      <c r="D13" s="2" t="s">
        <v>34</v>
      </c>
      <c r="E13" s="2" t="s">
        <v>35</v>
      </c>
      <c r="G13" s="37"/>
      <c r="H13" s="7">
        <v>55560</v>
      </c>
      <c r="I13" s="8">
        <v>16473</v>
      </c>
      <c r="J13" s="8">
        <v>10824</v>
      </c>
      <c r="K13" s="9">
        <v>8413</v>
      </c>
    </row>
    <row r="14" spans="1:11">
      <c r="A14" s="4" t="s">
        <v>14</v>
      </c>
      <c r="B14" s="6">
        <v>0.29649028077753781</v>
      </c>
      <c r="C14" s="6">
        <v>0.65707521398652335</v>
      </c>
      <c r="D14" s="6">
        <v>0.7772542498152254</v>
      </c>
      <c r="E14" s="6">
        <v>0.15142188624910008</v>
      </c>
      <c r="G14" s="4"/>
    </row>
    <row r="15" spans="1:11">
      <c r="A15" s="4" t="s">
        <v>16</v>
      </c>
      <c r="B15" s="6">
        <v>0.21606596289587107</v>
      </c>
      <c r="C15" s="6">
        <v>0.574298930326684</v>
      </c>
      <c r="D15" s="6">
        <v>0.66498867354643842</v>
      </c>
      <c r="E15" s="6">
        <v>8.2516084702354928E-2</v>
      </c>
      <c r="G15" s="36" t="s">
        <v>16</v>
      </c>
      <c r="H15" s="10" t="s">
        <v>3</v>
      </c>
      <c r="I15" s="11" t="s">
        <v>39</v>
      </c>
      <c r="J15" s="11" t="s">
        <v>5</v>
      </c>
      <c r="K15" s="12" t="s">
        <v>6</v>
      </c>
    </row>
    <row r="16" spans="1:11">
      <c r="A16" s="4" t="s">
        <v>12</v>
      </c>
      <c r="B16" s="6">
        <v>0.24879552900366159</v>
      </c>
      <c r="C16" s="6">
        <v>0.65733927188226182</v>
      </c>
      <c r="D16" s="6">
        <v>0.72882604212697011</v>
      </c>
      <c r="E16" s="6">
        <v>0.11919444979764887</v>
      </c>
      <c r="G16" s="37"/>
      <c r="H16" s="7">
        <v>32018</v>
      </c>
      <c r="I16" s="8">
        <v>6918</v>
      </c>
      <c r="J16" s="8">
        <v>3973</v>
      </c>
      <c r="K16" s="9">
        <v>2642</v>
      </c>
    </row>
    <row r="18" spans="1:11">
      <c r="G18" s="36" t="s">
        <v>12</v>
      </c>
      <c r="H18" s="10" t="s">
        <v>3</v>
      </c>
      <c r="I18" s="11" t="s">
        <v>39</v>
      </c>
      <c r="J18" s="11" t="s">
        <v>5</v>
      </c>
      <c r="K18" s="12" t="s">
        <v>6</v>
      </c>
    </row>
    <row r="19" spans="1:11">
      <c r="G19" s="37"/>
      <c r="H19" s="7">
        <v>41512</v>
      </c>
      <c r="I19" s="8">
        <v>10328</v>
      </c>
      <c r="J19" s="8">
        <v>6789</v>
      </c>
      <c r="K19" s="9">
        <v>4948</v>
      </c>
    </row>
    <row r="22" spans="1:11" ht="15">
      <c r="A22" s="34" t="s">
        <v>42</v>
      </c>
      <c r="B22" s="34"/>
      <c r="C22" s="13"/>
      <c r="D22" s="13"/>
      <c r="E22" s="13"/>
      <c r="F22" s="13"/>
    </row>
    <row r="24" spans="1:11">
      <c r="A24" s="3" t="s">
        <v>25</v>
      </c>
      <c r="B24" s="2" t="s">
        <v>41</v>
      </c>
      <c r="C24"/>
      <c r="D24"/>
      <c r="E24"/>
      <c r="F24"/>
    </row>
    <row r="25" spans="1:11">
      <c r="A25" s="4" t="s">
        <v>20</v>
      </c>
      <c r="B25" s="5">
        <v>75634.14634146342</v>
      </c>
      <c r="C25"/>
      <c r="D25"/>
      <c r="E25"/>
      <c r="F25"/>
    </row>
    <row r="26" spans="1:11">
      <c r="A26" s="4" t="s">
        <v>18</v>
      </c>
      <c r="B26" s="5">
        <v>57382.207578253707</v>
      </c>
      <c r="C26"/>
      <c r="D26"/>
      <c r="E26"/>
      <c r="F26"/>
    </row>
    <row r="27" spans="1:11">
      <c r="A27" s="4" t="s">
        <v>24</v>
      </c>
      <c r="B27" s="5">
        <v>40115.902964959569</v>
      </c>
      <c r="C27"/>
      <c r="D27"/>
      <c r="E27"/>
      <c r="F27"/>
    </row>
    <row r="28" spans="1:11">
      <c r="A28" s="4" t="s">
        <v>19</v>
      </c>
      <c r="B28" s="5">
        <v>39855.038022813686</v>
      </c>
      <c r="C28"/>
      <c r="D28"/>
      <c r="E28"/>
      <c r="F28"/>
    </row>
    <row r="29" spans="1:11">
      <c r="A29" s="4" t="s">
        <v>22</v>
      </c>
      <c r="B29" s="5">
        <v>27019.154030327216</v>
      </c>
      <c r="C29"/>
      <c r="D29"/>
      <c r="E29"/>
      <c r="F29"/>
    </row>
    <row r="30" spans="1:11">
      <c r="A30" s="4" t="s">
        <v>23</v>
      </c>
      <c r="B30" s="5">
        <v>21066.629023150763</v>
      </c>
      <c r="C30"/>
      <c r="D30"/>
      <c r="E30"/>
      <c r="F30"/>
    </row>
    <row r="31" spans="1:11">
      <c r="A31" s="4" t="s">
        <v>13</v>
      </c>
      <c r="B31" s="5">
        <v>6410.9347442680773</v>
      </c>
      <c r="C31"/>
      <c r="D31"/>
      <c r="E31"/>
      <c r="F31"/>
    </row>
    <row r="53" spans="1:6">
      <c r="A53"/>
      <c r="B53"/>
      <c r="C53"/>
      <c r="D53"/>
      <c r="E53"/>
      <c r="F53"/>
    </row>
    <row r="54" spans="1:6">
      <c r="A54"/>
      <c r="B54"/>
      <c r="C54"/>
      <c r="D54"/>
      <c r="E54"/>
      <c r="F54"/>
    </row>
    <row r="55" spans="1:6">
      <c r="A55"/>
      <c r="B55"/>
      <c r="C55"/>
      <c r="D55"/>
      <c r="E55"/>
      <c r="F55"/>
    </row>
    <row r="56" spans="1:6">
      <c r="A56"/>
      <c r="B56"/>
      <c r="C56"/>
      <c r="D56"/>
      <c r="E56"/>
      <c r="F56"/>
    </row>
    <row r="57" spans="1:6">
      <c r="A57"/>
      <c r="B57"/>
      <c r="C57"/>
    </row>
    <row r="58" spans="1:6">
      <c r="A58"/>
      <c r="B58"/>
      <c r="C58"/>
    </row>
    <row r="59" spans="1:6">
      <c r="A59"/>
      <c r="B59"/>
      <c r="C59"/>
    </row>
    <row r="60" spans="1:6">
      <c r="A60"/>
      <c r="B60"/>
      <c r="C60"/>
    </row>
    <row r="61" spans="1:6">
      <c r="A61"/>
      <c r="B61"/>
      <c r="C61"/>
    </row>
    <row r="62" spans="1:6">
      <c r="A62"/>
      <c r="B62"/>
      <c r="C62"/>
    </row>
  </sheetData>
  <mergeCells count="7">
    <mergeCell ref="A22:B22"/>
    <mergeCell ref="A1:K1"/>
    <mergeCell ref="A11:E11"/>
    <mergeCell ref="G12:G13"/>
    <mergeCell ref="G15:G16"/>
    <mergeCell ref="G18:G19"/>
    <mergeCell ref="G11:K11"/>
  </mergeCells>
  <conditionalFormatting pivot="1" sqref="B25:B3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B372-2F56-4486-850A-391B76DD416F}">
  <dimension ref="A1:L1000"/>
  <sheetViews>
    <sheetView zoomScale="80" zoomScaleNormal="80" workbookViewId="0">
      <pane ySplit="1" topLeftCell="A2" activePane="bottomLeft" state="frozen"/>
      <selection pane="bottomLeft" activeCell="B9" sqref="B9"/>
    </sheetView>
  </sheetViews>
  <sheetFormatPr defaultColWidth="12.6640625" defaultRowHeight="15" customHeight="1"/>
  <cols>
    <col min="1" max="1" width="13" customWidth="1"/>
    <col min="2" max="2" width="18" customWidth="1"/>
    <col min="3" max="3" width="21" customWidth="1"/>
    <col min="4" max="4" width="11" customWidth="1"/>
    <col min="5" max="5" width="13" customWidth="1"/>
    <col min="6" max="6" width="11" customWidth="1"/>
    <col min="7" max="7" width="10" customWidth="1"/>
    <col min="8" max="8" width="14" customWidth="1"/>
    <col min="9" max="9" width="12" customWidth="1"/>
    <col min="10" max="10" width="14" customWidth="1"/>
    <col min="11" max="12" width="15" customWidth="1"/>
    <col min="13" max="26" width="8.6640625" customWidth="1"/>
  </cols>
  <sheetData>
    <row r="1" spans="1:12" ht="14">
      <c r="A1" s="1" t="s">
        <v>0</v>
      </c>
      <c r="B1" s="1" t="s">
        <v>1</v>
      </c>
      <c r="C1" s="1" t="s">
        <v>2</v>
      </c>
      <c r="D1" s="1" t="s">
        <v>3</v>
      </c>
      <c r="E1" s="1" t="s">
        <v>4</v>
      </c>
      <c r="F1" s="1" t="s">
        <v>5</v>
      </c>
      <c r="G1" s="1" t="s">
        <v>6</v>
      </c>
      <c r="H1" s="1" t="s">
        <v>7</v>
      </c>
      <c r="I1" s="1" t="s">
        <v>8</v>
      </c>
      <c r="J1" s="1" t="s">
        <v>9</v>
      </c>
      <c r="K1" s="1" t="s">
        <v>10</v>
      </c>
      <c r="L1" s="1" t="s">
        <v>11</v>
      </c>
    </row>
    <row r="2" spans="1:12" ht="14">
      <c r="A2" s="16">
        <v>45663</v>
      </c>
      <c r="B2" s="17" t="s">
        <v>12</v>
      </c>
      <c r="C2" s="17" t="s">
        <v>13</v>
      </c>
      <c r="D2" s="17">
        <v>518</v>
      </c>
      <c r="E2" s="17">
        <v>120</v>
      </c>
      <c r="F2" s="17">
        <v>81</v>
      </c>
      <c r="G2" s="17">
        <v>64</v>
      </c>
      <c r="H2" s="18">
        <v>351000</v>
      </c>
      <c r="I2" s="19">
        <f t="shared" ref="I2:J17" si="0">IFERROR(E2/D2,0)</f>
        <v>0.23166023166023167</v>
      </c>
      <c r="J2" s="19">
        <f t="shared" si="0"/>
        <v>0.67500000000000004</v>
      </c>
      <c r="K2" s="19">
        <f t="shared" ref="K2:K157" si="1">IFERROR(G2/D2,0)</f>
        <v>0.12355212355212356</v>
      </c>
      <c r="L2" s="18">
        <f t="shared" ref="L2:L157" si="2">IFERROR(H2/G2,0)</f>
        <v>5484.375</v>
      </c>
    </row>
    <row r="3" spans="1:12" ht="14">
      <c r="A3" s="16">
        <v>45663</v>
      </c>
      <c r="B3" s="17" t="s">
        <v>14</v>
      </c>
      <c r="C3" s="17" t="s">
        <v>15</v>
      </c>
      <c r="D3" s="17">
        <v>621</v>
      </c>
      <c r="E3" s="17">
        <v>188</v>
      </c>
      <c r="F3" s="17">
        <v>116</v>
      </c>
      <c r="G3" s="17">
        <v>90</v>
      </c>
      <c r="H3" s="18">
        <v>0</v>
      </c>
      <c r="I3" s="19">
        <f t="shared" si="0"/>
        <v>0.30273752012882449</v>
      </c>
      <c r="J3" s="19">
        <f t="shared" si="0"/>
        <v>0.61702127659574468</v>
      </c>
      <c r="K3" s="19">
        <f t="shared" si="1"/>
        <v>0.14492753623188406</v>
      </c>
      <c r="L3" s="18">
        <f t="shared" si="2"/>
        <v>0</v>
      </c>
    </row>
    <row r="4" spans="1:12" ht="14">
      <c r="A4" s="16">
        <v>45663</v>
      </c>
      <c r="B4" s="17" t="s">
        <v>16</v>
      </c>
      <c r="C4" s="17" t="s">
        <v>17</v>
      </c>
      <c r="D4" s="17">
        <v>390</v>
      </c>
      <c r="E4" s="17">
        <v>83</v>
      </c>
      <c r="F4" s="17">
        <v>50</v>
      </c>
      <c r="G4" s="17">
        <v>33</v>
      </c>
      <c r="H4" s="18">
        <v>0</v>
      </c>
      <c r="I4" s="19">
        <f t="shared" si="0"/>
        <v>0.21282051282051281</v>
      </c>
      <c r="J4" s="19">
        <f t="shared" si="0"/>
        <v>0.60240963855421692</v>
      </c>
      <c r="K4" s="19">
        <f t="shared" si="1"/>
        <v>8.461538461538462E-2</v>
      </c>
      <c r="L4" s="18">
        <f t="shared" si="2"/>
        <v>0</v>
      </c>
    </row>
    <row r="5" spans="1:12" ht="14">
      <c r="A5" s="16">
        <v>45670</v>
      </c>
      <c r="B5" s="17" t="s">
        <v>12</v>
      </c>
      <c r="C5" s="17" t="s">
        <v>18</v>
      </c>
      <c r="D5" s="17">
        <v>696</v>
      </c>
      <c r="E5" s="17">
        <v>135</v>
      </c>
      <c r="F5" s="17">
        <v>84</v>
      </c>
      <c r="G5" s="17">
        <v>62</v>
      </c>
      <c r="H5" s="18">
        <v>3412000</v>
      </c>
      <c r="I5" s="19">
        <f t="shared" si="0"/>
        <v>0.19396551724137931</v>
      </c>
      <c r="J5" s="19">
        <f t="shared" si="0"/>
        <v>0.62222222222222223</v>
      </c>
      <c r="K5" s="19">
        <f t="shared" si="1"/>
        <v>8.9080459770114945E-2</v>
      </c>
      <c r="L5" s="18">
        <f t="shared" si="2"/>
        <v>55032.258064516129</v>
      </c>
    </row>
    <row r="6" spans="1:12" ht="14">
      <c r="A6" s="16">
        <v>45670</v>
      </c>
      <c r="B6" s="17" t="s">
        <v>14</v>
      </c>
      <c r="C6" s="17" t="s">
        <v>19</v>
      </c>
      <c r="D6" s="17">
        <v>911</v>
      </c>
      <c r="E6" s="17">
        <v>267</v>
      </c>
      <c r="F6" s="17">
        <v>173</v>
      </c>
      <c r="G6" s="17">
        <v>137</v>
      </c>
      <c r="H6" s="18">
        <v>4602000</v>
      </c>
      <c r="I6" s="19">
        <f t="shared" si="0"/>
        <v>0.29308452250274425</v>
      </c>
      <c r="J6" s="19">
        <f t="shared" si="0"/>
        <v>0.64794007490636707</v>
      </c>
      <c r="K6" s="19">
        <f t="shared" si="1"/>
        <v>0.150384193194292</v>
      </c>
      <c r="L6" s="18">
        <f t="shared" si="2"/>
        <v>33591.240875912408</v>
      </c>
    </row>
    <row r="7" spans="1:12" ht="14">
      <c r="A7" s="16">
        <v>45670</v>
      </c>
      <c r="B7" s="17" t="s">
        <v>16</v>
      </c>
      <c r="C7" s="17" t="s">
        <v>20</v>
      </c>
      <c r="D7" s="17">
        <v>581</v>
      </c>
      <c r="E7" s="17">
        <v>119</v>
      </c>
      <c r="F7" s="17">
        <v>69</v>
      </c>
      <c r="G7" s="17">
        <v>47</v>
      </c>
      <c r="H7" s="18">
        <v>3979000</v>
      </c>
      <c r="I7" s="19">
        <f t="shared" si="0"/>
        <v>0.20481927710843373</v>
      </c>
      <c r="J7" s="19">
        <f t="shared" si="0"/>
        <v>0.57983193277310929</v>
      </c>
      <c r="K7" s="19">
        <f t="shared" si="1"/>
        <v>8.0895008605851984E-2</v>
      </c>
      <c r="L7" s="18">
        <f t="shared" si="2"/>
        <v>84659.574468085106</v>
      </c>
    </row>
    <row r="8" spans="1:12" ht="14">
      <c r="A8" s="16">
        <v>45677</v>
      </c>
      <c r="B8" s="17" t="s">
        <v>12</v>
      </c>
      <c r="C8" s="17" t="s">
        <v>21</v>
      </c>
      <c r="D8" s="17">
        <v>723</v>
      </c>
      <c r="E8" s="17">
        <v>159</v>
      </c>
      <c r="F8" s="17">
        <v>102</v>
      </c>
      <c r="G8" s="17">
        <v>71</v>
      </c>
      <c r="H8" s="18">
        <v>0</v>
      </c>
      <c r="I8" s="19">
        <f t="shared" si="0"/>
        <v>0.21991701244813278</v>
      </c>
      <c r="J8" s="19">
        <f t="shared" si="0"/>
        <v>0.64150943396226412</v>
      </c>
      <c r="K8" s="19">
        <f t="shared" si="1"/>
        <v>9.8201936376210233E-2</v>
      </c>
      <c r="L8" s="18">
        <f t="shared" si="2"/>
        <v>0</v>
      </c>
    </row>
    <row r="9" spans="1:12" ht="14">
      <c r="A9" s="16">
        <v>45677</v>
      </c>
      <c r="B9" s="17" t="s">
        <v>14</v>
      </c>
      <c r="C9" s="17" t="s">
        <v>15</v>
      </c>
      <c r="D9" s="17">
        <v>632</v>
      </c>
      <c r="E9" s="17">
        <v>162</v>
      </c>
      <c r="F9" s="17">
        <v>109</v>
      </c>
      <c r="G9" s="17">
        <v>85</v>
      </c>
      <c r="H9" s="18">
        <v>0</v>
      </c>
      <c r="I9" s="19">
        <f t="shared" si="0"/>
        <v>0.25632911392405061</v>
      </c>
      <c r="J9" s="19">
        <f t="shared" si="0"/>
        <v>0.6728395061728395</v>
      </c>
      <c r="K9" s="19">
        <f t="shared" si="1"/>
        <v>0.13449367088607594</v>
      </c>
      <c r="L9" s="18">
        <f t="shared" si="2"/>
        <v>0</v>
      </c>
    </row>
    <row r="10" spans="1:12" ht="14">
      <c r="A10" s="16">
        <v>45677</v>
      </c>
      <c r="B10" s="17" t="s">
        <v>16</v>
      </c>
      <c r="C10" s="17" t="s">
        <v>17</v>
      </c>
      <c r="D10" s="17">
        <v>319</v>
      </c>
      <c r="E10" s="17">
        <v>65</v>
      </c>
      <c r="F10" s="17">
        <v>37</v>
      </c>
      <c r="G10" s="17">
        <v>23</v>
      </c>
      <c r="H10" s="18">
        <v>0</v>
      </c>
      <c r="I10" s="19">
        <f t="shared" si="0"/>
        <v>0.20376175548589343</v>
      </c>
      <c r="J10" s="19">
        <f t="shared" si="0"/>
        <v>0.56923076923076921</v>
      </c>
      <c r="K10" s="19">
        <f t="shared" si="1"/>
        <v>7.2100313479623826E-2</v>
      </c>
      <c r="L10" s="18">
        <f t="shared" si="2"/>
        <v>0</v>
      </c>
    </row>
    <row r="11" spans="1:12" ht="14">
      <c r="A11" s="16">
        <v>45684</v>
      </c>
      <c r="B11" s="17" t="s">
        <v>12</v>
      </c>
      <c r="C11" s="17" t="s">
        <v>22</v>
      </c>
      <c r="D11" s="17">
        <v>1019</v>
      </c>
      <c r="E11" s="17">
        <v>287</v>
      </c>
      <c r="F11" s="17">
        <v>182</v>
      </c>
      <c r="G11" s="17">
        <v>128</v>
      </c>
      <c r="H11" s="18">
        <v>3216000</v>
      </c>
      <c r="I11" s="19">
        <f t="shared" si="0"/>
        <v>0.28164867517173697</v>
      </c>
      <c r="J11" s="19">
        <f t="shared" si="0"/>
        <v>0.63414634146341464</v>
      </c>
      <c r="K11" s="19">
        <f t="shared" si="1"/>
        <v>0.12561334641805691</v>
      </c>
      <c r="L11" s="18">
        <f t="shared" si="2"/>
        <v>25125</v>
      </c>
    </row>
    <row r="12" spans="1:12" ht="14">
      <c r="A12" s="16">
        <v>45684</v>
      </c>
      <c r="B12" s="17" t="s">
        <v>14</v>
      </c>
      <c r="C12" s="17" t="s">
        <v>15</v>
      </c>
      <c r="D12" s="17">
        <v>790</v>
      </c>
      <c r="E12" s="17">
        <v>233</v>
      </c>
      <c r="F12" s="17">
        <v>148</v>
      </c>
      <c r="G12" s="17">
        <v>115</v>
      </c>
      <c r="H12" s="18">
        <v>0</v>
      </c>
      <c r="I12" s="19">
        <f t="shared" si="0"/>
        <v>0.29493670886075951</v>
      </c>
      <c r="J12" s="19">
        <f t="shared" si="0"/>
        <v>0.63519313304721026</v>
      </c>
      <c r="K12" s="19">
        <f t="shared" si="1"/>
        <v>0.14556962025316456</v>
      </c>
      <c r="L12" s="18">
        <f t="shared" si="2"/>
        <v>0</v>
      </c>
    </row>
    <row r="13" spans="1:12" ht="14">
      <c r="A13" s="16">
        <v>45684</v>
      </c>
      <c r="B13" s="17" t="s">
        <v>16</v>
      </c>
      <c r="C13" s="17" t="s">
        <v>20</v>
      </c>
      <c r="D13" s="17">
        <v>573</v>
      </c>
      <c r="E13" s="17">
        <v>135</v>
      </c>
      <c r="F13" s="17">
        <v>81</v>
      </c>
      <c r="G13" s="17">
        <v>56</v>
      </c>
      <c r="H13" s="18">
        <v>4035000</v>
      </c>
      <c r="I13" s="19">
        <f t="shared" si="0"/>
        <v>0.2356020942408377</v>
      </c>
      <c r="J13" s="19">
        <f t="shared" si="0"/>
        <v>0.6</v>
      </c>
      <c r="K13" s="19">
        <f t="shared" si="1"/>
        <v>9.7731239092495634E-2</v>
      </c>
      <c r="L13" s="18">
        <f t="shared" si="2"/>
        <v>72053.571428571435</v>
      </c>
    </row>
    <row r="14" spans="1:12" ht="14">
      <c r="A14" s="16">
        <v>45691</v>
      </c>
      <c r="B14" s="17" t="s">
        <v>12</v>
      </c>
      <c r="C14" s="17" t="s">
        <v>22</v>
      </c>
      <c r="D14" s="17">
        <v>856</v>
      </c>
      <c r="E14" s="17">
        <v>228</v>
      </c>
      <c r="F14" s="17">
        <v>148</v>
      </c>
      <c r="G14" s="17">
        <v>109</v>
      </c>
      <c r="H14" s="18">
        <v>3851000</v>
      </c>
      <c r="I14" s="19">
        <f t="shared" si="0"/>
        <v>0.26635514018691586</v>
      </c>
      <c r="J14" s="19">
        <f t="shared" si="0"/>
        <v>0.64912280701754388</v>
      </c>
      <c r="K14" s="19">
        <f t="shared" si="1"/>
        <v>0.12733644859813084</v>
      </c>
      <c r="L14" s="18">
        <f t="shared" si="2"/>
        <v>35330.275229357801</v>
      </c>
    </row>
    <row r="15" spans="1:12" ht="14">
      <c r="A15" s="16">
        <v>45691</v>
      </c>
      <c r="B15" s="17" t="s">
        <v>14</v>
      </c>
      <c r="C15" s="17" t="s">
        <v>15</v>
      </c>
      <c r="D15" s="17">
        <v>798</v>
      </c>
      <c r="E15" s="17">
        <v>219</v>
      </c>
      <c r="F15" s="17">
        <v>149</v>
      </c>
      <c r="G15" s="17">
        <v>116</v>
      </c>
      <c r="H15" s="18">
        <v>0</v>
      </c>
      <c r="I15" s="19">
        <f t="shared" si="0"/>
        <v>0.27443609022556392</v>
      </c>
      <c r="J15" s="19">
        <f t="shared" si="0"/>
        <v>0.68036529680365299</v>
      </c>
      <c r="K15" s="19">
        <f t="shared" si="1"/>
        <v>0.14536340852130325</v>
      </c>
      <c r="L15" s="18">
        <f t="shared" si="2"/>
        <v>0</v>
      </c>
    </row>
    <row r="16" spans="1:12" ht="14">
      <c r="A16" s="16">
        <v>45691</v>
      </c>
      <c r="B16" s="17" t="s">
        <v>16</v>
      </c>
      <c r="C16" s="17" t="s">
        <v>20</v>
      </c>
      <c r="D16" s="17">
        <v>562</v>
      </c>
      <c r="E16" s="17">
        <v>97</v>
      </c>
      <c r="F16" s="17">
        <v>55</v>
      </c>
      <c r="G16" s="17">
        <v>36</v>
      </c>
      <c r="H16" s="18">
        <v>3190000</v>
      </c>
      <c r="I16" s="19">
        <f t="shared" si="0"/>
        <v>0.17259786476868327</v>
      </c>
      <c r="J16" s="19">
        <f t="shared" si="0"/>
        <v>0.5670103092783505</v>
      </c>
      <c r="K16" s="19">
        <f t="shared" si="1"/>
        <v>6.4056939501779361E-2</v>
      </c>
      <c r="L16" s="18">
        <f t="shared" si="2"/>
        <v>88611.111111111109</v>
      </c>
    </row>
    <row r="17" spans="1:12" ht="14">
      <c r="A17" s="16">
        <v>45698</v>
      </c>
      <c r="B17" s="17" t="s">
        <v>12</v>
      </c>
      <c r="C17" s="17" t="s">
        <v>18</v>
      </c>
      <c r="D17" s="17">
        <v>788</v>
      </c>
      <c r="E17" s="17">
        <v>170</v>
      </c>
      <c r="F17" s="17">
        <v>113</v>
      </c>
      <c r="G17" s="17">
        <v>81</v>
      </c>
      <c r="H17" s="18">
        <v>5449000</v>
      </c>
      <c r="I17" s="19">
        <f t="shared" si="0"/>
        <v>0.21573604060913706</v>
      </c>
      <c r="J17" s="19">
        <f t="shared" si="0"/>
        <v>0.66470588235294115</v>
      </c>
      <c r="K17" s="19">
        <f t="shared" si="1"/>
        <v>0.10279187817258884</v>
      </c>
      <c r="L17" s="18">
        <f t="shared" si="2"/>
        <v>67271.604938271601</v>
      </c>
    </row>
    <row r="18" spans="1:12" ht="14">
      <c r="A18" s="16">
        <v>45698</v>
      </c>
      <c r="B18" s="17" t="s">
        <v>14</v>
      </c>
      <c r="C18" s="17" t="s">
        <v>15</v>
      </c>
      <c r="D18" s="17">
        <v>720</v>
      </c>
      <c r="E18" s="17">
        <v>209</v>
      </c>
      <c r="F18" s="17">
        <v>133</v>
      </c>
      <c r="G18" s="17">
        <v>105</v>
      </c>
      <c r="H18" s="18">
        <v>0</v>
      </c>
      <c r="I18" s="19">
        <f t="shared" ref="I18:J33" si="3">IFERROR(E18/D18,0)</f>
        <v>0.2902777777777778</v>
      </c>
      <c r="J18" s="19">
        <f t="shared" si="3"/>
        <v>0.63636363636363635</v>
      </c>
      <c r="K18" s="19">
        <f t="shared" si="1"/>
        <v>0.14583333333333334</v>
      </c>
      <c r="L18" s="18">
        <f t="shared" si="2"/>
        <v>0</v>
      </c>
    </row>
    <row r="19" spans="1:12" ht="14">
      <c r="A19" s="16">
        <v>45698</v>
      </c>
      <c r="B19" s="17" t="s">
        <v>16</v>
      </c>
      <c r="C19" s="17" t="s">
        <v>20</v>
      </c>
      <c r="D19" s="17">
        <v>532</v>
      </c>
      <c r="E19" s="17">
        <v>112</v>
      </c>
      <c r="F19" s="17">
        <v>63</v>
      </c>
      <c r="G19" s="17">
        <v>43</v>
      </c>
      <c r="H19" s="18">
        <v>2886000</v>
      </c>
      <c r="I19" s="19">
        <f t="shared" si="3"/>
        <v>0.21052631578947367</v>
      </c>
      <c r="J19" s="19">
        <f t="shared" si="3"/>
        <v>0.5625</v>
      </c>
      <c r="K19" s="19">
        <f t="shared" si="1"/>
        <v>8.0827067669172928E-2</v>
      </c>
      <c r="L19" s="18">
        <f t="shared" si="2"/>
        <v>67116.279069767435</v>
      </c>
    </row>
    <row r="20" spans="1:12" ht="14">
      <c r="A20" s="16">
        <v>45705</v>
      </c>
      <c r="B20" s="17" t="s">
        <v>12</v>
      </c>
      <c r="C20" s="17" t="s">
        <v>18</v>
      </c>
      <c r="D20" s="17">
        <v>647</v>
      </c>
      <c r="E20" s="17">
        <v>165</v>
      </c>
      <c r="F20" s="17">
        <v>106</v>
      </c>
      <c r="G20" s="17">
        <v>76</v>
      </c>
      <c r="H20" s="18">
        <v>3143000</v>
      </c>
      <c r="I20" s="19">
        <f t="shared" si="3"/>
        <v>0.25502318392581141</v>
      </c>
      <c r="J20" s="19">
        <f t="shared" si="3"/>
        <v>0.64242424242424245</v>
      </c>
      <c r="K20" s="19">
        <f t="shared" si="1"/>
        <v>0.11746522411128284</v>
      </c>
      <c r="L20" s="18">
        <f t="shared" si="2"/>
        <v>41355.26315789474</v>
      </c>
    </row>
    <row r="21" spans="1:12" ht="15.75" customHeight="1">
      <c r="A21" s="16">
        <v>45705</v>
      </c>
      <c r="B21" s="17" t="s">
        <v>14</v>
      </c>
      <c r="C21" s="17" t="s">
        <v>23</v>
      </c>
      <c r="D21" s="17">
        <v>1066</v>
      </c>
      <c r="E21" s="17">
        <v>367</v>
      </c>
      <c r="F21" s="17">
        <v>241</v>
      </c>
      <c r="G21" s="17">
        <v>187</v>
      </c>
      <c r="H21" s="18">
        <v>3730000</v>
      </c>
      <c r="I21" s="19">
        <f t="shared" si="3"/>
        <v>0.34427767354596622</v>
      </c>
      <c r="J21" s="19">
        <f t="shared" si="3"/>
        <v>0.65667574931880113</v>
      </c>
      <c r="K21" s="19">
        <f t="shared" si="1"/>
        <v>0.17542213883677299</v>
      </c>
      <c r="L21" s="18">
        <f t="shared" si="2"/>
        <v>19946.524064171124</v>
      </c>
    </row>
    <row r="22" spans="1:12" ht="15.75" customHeight="1">
      <c r="A22" s="16">
        <v>45705</v>
      </c>
      <c r="B22" s="17" t="s">
        <v>16</v>
      </c>
      <c r="C22" s="17" t="s">
        <v>17</v>
      </c>
      <c r="D22" s="17">
        <v>434</v>
      </c>
      <c r="E22" s="17">
        <v>86</v>
      </c>
      <c r="F22" s="17">
        <v>48</v>
      </c>
      <c r="G22" s="17">
        <v>33</v>
      </c>
      <c r="H22" s="18">
        <v>0</v>
      </c>
      <c r="I22" s="19">
        <f t="shared" si="3"/>
        <v>0.19815668202764977</v>
      </c>
      <c r="J22" s="19">
        <f t="shared" si="3"/>
        <v>0.55813953488372092</v>
      </c>
      <c r="K22" s="19">
        <f t="shared" si="1"/>
        <v>7.6036866359447008E-2</v>
      </c>
      <c r="L22" s="18">
        <f t="shared" si="2"/>
        <v>0</v>
      </c>
    </row>
    <row r="23" spans="1:12" ht="15.75" customHeight="1">
      <c r="A23" s="16">
        <v>45712</v>
      </c>
      <c r="B23" s="17" t="s">
        <v>12</v>
      </c>
      <c r="C23" s="17" t="s">
        <v>13</v>
      </c>
      <c r="D23" s="17">
        <v>397</v>
      </c>
      <c r="E23" s="17">
        <v>106</v>
      </c>
      <c r="F23" s="17">
        <v>70</v>
      </c>
      <c r="G23" s="17">
        <v>55</v>
      </c>
      <c r="H23" s="18">
        <v>310000</v>
      </c>
      <c r="I23" s="19">
        <f t="shared" si="3"/>
        <v>0.26700251889168763</v>
      </c>
      <c r="J23" s="19">
        <f t="shared" si="3"/>
        <v>0.660377358490566</v>
      </c>
      <c r="K23" s="19">
        <f t="shared" si="1"/>
        <v>0.1385390428211587</v>
      </c>
      <c r="L23" s="18">
        <f t="shared" si="2"/>
        <v>5636.363636363636</v>
      </c>
    </row>
    <row r="24" spans="1:12" ht="15.75" customHeight="1">
      <c r="A24" s="16">
        <v>45712</v>
      </c>
      <c r="B24" s="17" t="s">
        <v>14</v>
      </c>
      <c r="C24" s="17" t="s">
        <v>23</v>
      </c>
      <c r="D24" s="17">
        <v>1092</v>
      </c>
      <c r="E24" s="17">
        <v>350</v>
      </c>
      <c r="F24" s="17">
        <v>222</v>
      </c>
      <c r="G24" s="17">
        <v>165</v>
      </c>
      <c r="H24" s="18">
        <v>3783000</v>
      </c>
      <c r="I24" s="19">
        <f t="shared" si="3"/>
        <v>0.32051282051282054</v>
      </c>
      <c r="J24" s="19">
        <f t="shared" si="3"/>
        <v>0.63428571428571423</v>
      </c>
      <c r="K24" s="19">
        <f t="shared" si="1"/>
        <v>0.15109890109890109</v>
      </c>
      <c r="L24" s="18">
        <f t="shared" si="2"/>
        <v>22927.272727272728</v>
      </c>
    </row>
    <row r="25" spans="1:12" ht="15.75" customHeight="1">
      <c r="A25" s="16">
        <v>45712</v>
      </c>
      <c r="B25" s="17" t="s">
        <v>16</v>
      </c>
      <c r="C25" s="17" t="s">
        <v>20</v>
      </c>
      <c r="D25" s="17">
        <v>616</v>
      </c>
      <c r="E25" s="17">
        <v>122</v>
      </c>
      <c r="F25" s="17">
        <v>73</v>
      </c>
      <c r="G25" s="17">
        <v>50</v>
      </c>
      <c r="H25" s="18">
        <v>3840000</v>
      </c>
      <c r="I25" s="19">
        <f t="shared" si="3"/>
        <v>0.19805194805194806</v>
      </c>
      <c r="J25" s="19">
        <f t="shared" si="3"/>
        <v>0.59836065573770492</v>
      </c>
      <c r="K25" s="19">
        <f t="shared" si="1"/>
        <v>8.1168831168831168E-2</v>
      </c>
      <c r="L25" s="18">
        <f t="shared" si="2"/>
        <v>76800</v>
      </c>
    </row>
    <row r="26" spans="1:12" ht="15.75" customHeight="1">
      <c r="A26" s="16">
        <v>45719</v>
      </c>
      <c r="B26" s="17" t="s">
        <v>12</v>
      </c>
      <c r="C26" s="17" t="s">
        <v>13</v>
      </c>
      <c r="D26" s="17">
        <v>522</v>
      </c>
      <c r="E26" s="17">
        <v>162</v>
      </c>
      <c r="F26" s="17">
        <v>116</v>
      </c>
      <c r="G26" s="17">
        <v>92</v>
      </c>
      <c r="H26" s="18">
        <v>464000</v>
      </c>
      <c r="I26" s="19">
        <f t="shared" si="3"/>
        <v>0.31034482758620691</v>
      </c>
      <c r="J26" s="19">
        <f t="shared" si="3"/>
        <v>0.71604938271604934</v>
      </c>
      <c r="K26" s="19">
        <f t="shared" si="1"/>
        <v>0.17624521072796934</v>
      </c>
      <c r="L26" s="18">
        <f t="shared" si="2"/>
        <v>5043.478260869565</v>
      </c>
    </row>
    <row r="27" spans="1:12" ht="15.75" customHeight="1">
      <c r="A27" s="16">
        <v>45719</v>
      </c>
      <c r="B27" s="17" t="s">
        <v>14</v>
      </c>
      <c r="C27" s="17" t="s">
        <v>19</v>
      </c>
      <c r="D27" s="17">
        <v>1047</v>
      </c>
      <c r="E27" s="17">
        <v>324</v>
      </c>
      <c r="F27" s="17">
        <v>209</v>
      </c>
      <c r="G27" s="17">
        <v>165</v>
      </c>
      <c r="H27" s="18">
        <v>6789000</v>
      </c>
      <c r="I27" s="19">
        <f t="shared" si="3"/>
        <v>0.30945558739255014</v>
      </c>
      <c r="J27" s="19">
        <f t="shared" si="3"/>
        <v>0.64506172839506171</v>
      </c>
      <c r="K27" s="19">
        <f t="shared" si="1"/>
        <v>0.15759312320916904</v>
      </c>
      <c r="L27" s="18">
        <f t="shared" si="2"/>
        <v>41145.454545454544</v>
      </c>
    </row>
    <row r="28" spans="1:12" ht="15.75" customHeight="1">
      <c r="A28" s="16">
        <v>45719</v>
      </c>
      <c r="B28" s="17" t="s">
        <v>16</v>
      </c>
      <c r="C28" s="17" t="s">
        <v>20</v>
      </c>
      <c r="D28" s="17">
        <v>689</v>
      </c>
      <c r="E28" s="17">
        <v>136</v>
      </c>
      <c r="F28" s="17">
        <v>77</v>
      </c>
      <c r="G28" s="17">
        <v>55</v>
      </c>
      <c r="H28" s="18">
        <v>3726000</v>
      </c>
      <c r="I28" s="19">
        <f t="shared" si="3"/>
        <v>0.19738751814223512</v>
      </c>
      <c r="J28" s="19">
        <f t="shared" si="3"/>
        <v>0.56617647058823528</v>
      </c>
      <c r="K28" s="19">
        <f t="shared" si="1"/>
        <v>7.982583454281568E-2</v>
      </c>
      <c r="L28" s="18">
        <f t="shared" si="2"/>
        <v>67745.454545454544</v>
      </c>
    </row>
    <row r="29" spans="1:12" ht="15.75" customHeight="1">
      <c r="A29" s="16">
        <v>45726</v>
      </c>
      <c r="B29" s="17" t="s">
        <v>12</v>
      </c>
      <c r="C29" s="17" t="s">
        <v>22</v>
      </c>
      <c r="D29" s="17">
        <v>1039</v>
      </c>
      <c r="E29" s="17">
        <v>301</v>
      </c>
      <c r="F29" s="17">
        <v>203</v>
      </c>
      <c r="G29" s="17">
        <v>147</v>
      </c>
      <c r="H29" s="18">
        <v>3983000</v>
      </c>
      <c r="I29" s="19">
        <f t="shared" si="3"/>
        <v>0.28970163618864292</v>
      </c>
      <c r="J29" s="19">
        <f t="shared" si="3"/>
        <v>0.67441860465116277</v>
      </c>
      <c r="K29" s="19">
        <f t="shared" si="1"/>
        <v>0.14148219441770934</v>
      </c>
      <c r="L29" s="18">
        <f t="shared" si="2"/>
        <v>27095.238095238095</v>
      </c>
    </row>
    <row r="30" spans="1:12" ht="15.75" customHeight="1">
      <c r="A30" s="16">
        <v>45726</v>
      </c>
      <c r="B30" s="17" t="s">
        <v>14</v>
      </c>
      <c r="C30" s="17" t="s">
        <v>15</v>
      </c>
      <c r="D30" s="17">
        <v>865</v>
      </c>
      <c r="E30" s="17">
        <v>236</v>
      </c>
      <c r="F30" s="17">
        <v>156</v>
      </c>
      <c r="G30" s="17">
        <v>118</v>
      </c>
      <c r="H30" s="18">
        <v>0</v>
      </c>
      <c r="I30" s="19">
        <f t="shared" si="3"/>
        <v>0.27283236994219651</v>
      </c>
      <c r="J30" s="19">
        <f t="shared" si="3"/>
        <v>0.66101694915254239</v>
      </c>
      <c r="K30" s="19">
        <f t="shared" si="1"/>
        <v>0.13641618497109825</v>
      </c>
      <c r="L30" s="18">
        <f t="shared" si="2"/>
        <v>0</v>
      </c>
    </row>
    <row r="31" spans="1:12" ht="15.75" customHeight="1">
      <c r="A31" s="16">
        <v>45726</v>
      </c>
      <c r="B31" s="17" t="s">
        <v>16</v>
      </c>
      <c r="C31" s="17" t="s">
        <v>24</v>
      </c>
      <c r="D31" s="17">
        <v>669</v>
      </c>
      <c r="E31" s="17">
        <v>167</v>
      </c>
      <c r="F31" s="17">
        <v>97</v>
      </c>
      <c r="G31" s="17">
        <v>64</v>
      </c>
      <c r="H31" s="18">
        <v>2488000</v>
      </c>
      <c r="I31" s="19">
        <f t="shared" si="3"/>
        <v>0.24962630792227206</v>
      </c>
      <c r="J31" s="19">
        <f t="shared" si="3"/>
        <v>0.58083832335329344</v>
      </c>
      <c r="K31" s="19">
        <f t="shared" si="1"/>
        <v>9.5665171898355758E-2</v>
      </c>
      <c r="L31" s="18">
        <f t="shared" si="2"/>
        <v>38875</v>
      </c>
    </row>
    <row r="32" spans="1:12" ht="15.75" customHeight="1">
      <c r="A32" s="16">
        <v>45733</v>
      </c>
      <c r="B32" s="17" t="s">
        <v>12</v>
      </c>
      <c r="C32" s="17" t="s">
        <v>22</v>
      </c>
      <c r="D32" s="17">
        <v>1003</v>
      </c>
      <c r="E32" s="17">
        <v>247</v>
      </c>
      <c r="F32" s="17">
        <v>153</v>
      </c>
      <c r="G32" s="17">
        <v>107</v>
      </c>
      <c r="H32" s="18">
        <v>3365000</v>
      </c>
      <c r="I32" s="19">
        <f t="shared" si="3"/>
        <v>0.24626121635094717</v>
      </c>
      <c r="J32" s="19">
        <f t="shared" si="3"/>
        <v>0.61943319838056676</v>
      </c>
      <c r="K32" s="19">
        <f t="shared" si="1"/>
        <v>0.10667996011964108</v>
      </c>
      <c r="L32" s="18">
        <f t="shared" si="2"/>
        <v>31448.598130841121</v>
      </c>
    </row>
    <row r="33" spans="1:12" ht="15.75" customHeight="1">
      <c r="A33" s="16">
        <v>45733</v>
      </c>
      <c r="B33" s="17" t="s">
        <v>14</v>
      </c>
      <c r="C33" s="17" t="s">
        <v>19</v>
      </c>
      <c r="D33" s="17">
        <v>1152</v>
      </c>
      <c r="E33" s="17">
        <v>358</v>
      </c>
      <c r="F33" s="17">
        <v>243</v>
      </c>
      <c r="G33" s="17">
        <v>195</v>
      </c>
      <c r="H33" s="18">
        <v>7788000</v>
      </c>
      <c r="I33" s="19">
        <f t="shared" si="3"/>
        <v>0.3107638888888889</v>
      </c>
      <c r="J33" s="19">
        <f t="shared" si="3"/>
        <v>0.67877094972067042</v>
      </c>
      <c r="K33" s="19">
        <f t="shared" si="1"/>
        <v>0.16927083333333334</v>
      </c>
      <c r="L33" s="18">
        <f t="shared" si="2"/>
        <v>39938.461538461539</v>
      </c>
    </row>
    <row r="34" spans="1:12" ht="15.75" customHeight="1">
      <c r="A34" s="16">
        <v>45733</v>
      </c>
      <c r="B34" s="17" t="s">
        <v>16</v>
      </c>
      <c r="C34" s="17" t="s">
        <v>24</v>
      </c>
      <c r="D34" s="17">
        <v>660</v>
      </c>
      <c r="E34" s="17">
        <v>150</v>
      </c>
      <c r="F34" s="17">
        <v>87</v>
      </c>
      <c r="G34" s="17">
        <v>59</v>
      </c>
      <c r="H34" s="18">
        <v>2893000</v>
      </c>
      <c r="I34" s="19">
        <f t="shared" ref="I34:J49" si="4">IFERROR(E34/D34,0)</f>
        <v>0.22727272727272727</v>
      </c>
      <c r="J34" s="19">
        <f t="shared" si="4"/>
        <v>0.57999999999999996</v>
      </c>
      <c r="K34" s="19">
        <f t="shared" si="1"/>
        <v>8.9393939393939401E-2</v>
      </c>
      <c r="L34" s="18">
        <f t="shared" si="2"/>
        <v>49033.898305084746</v>
      </c>
    </row>
    <row r="35" spans="1:12" ht="15.75" customHeight="1">
      <c r="A35" s="16">
        <v>45740</v>
      </c>
      <c r="B35" s="17" t="s">
        <v>12</v>
      </c>
      <c r="C35" s="17" t="s">
        <v>13</v>
      </c>
      <c r="D35" s="17">
        <v>541</v>
      </c>
      <c r="E35" s="17">
        <v>149</v>
      </c>
      <c r="F35" s="17">
        <v>94</v>
      </c>
      <c r="G35" s="17">
        <v>76</v>
      </c>
      <c r="H35" s="18">
        <v>338000</v>
      </c>
      <c r="I35" s="19">
        <f t="shared" si="4"/>
        <v>0.2754158964879852</v>
      </c>
      <c r="J35" s="19">
        <f t="shared" si="4"/>
        <v>0.63087248322147649</v>
      </c>
      <c r="K35" s="19">
        <f t="shared" si="1"/>
        <v>0.14048059149722736</v>
      </c>
      <c r="L35" s="18">
        <f t="shared" si="2"/>
        <v>4447.3684210526317</v>
      </c>
    </row>
    <row r="36" spans="1:12" ht="15.75" customHeight="1">
      <c r="A36" s="16">
        <v>45740</v>
      </c>
      <c r="B36" s="17" t="s">
        <v>14</v>
      </c>
      <c r="C36" s="17" t="s">
        <v>19</v>
      </c>
      <c r="D36" s="17">
        <v>968</v>
      </c>
      <c r="E36" s="17">
        <v>297</v>
      </c>
      <c r="F36" s="17">
        <v>192</v>
      </c>
      <c r="G36" s="17">
        <v>151</v>
      </c>
      <c r="H36" s="18">
        <v>6744000</v>
      </c>
      <c r="I36" s="19">
        <f t="shared" si="4"/>
        <v>0.30681818181818182</v>
      </c>
      <c r="J36" s="19">
        <f t="shared" si="4"/>
        <v>0.64646464646464652</v>
      </c>
      <c r="K36" s="19">
        <f t="shared" si="1"/>
        <v>0.15599173553719009</v>
      </c>
      <c r="L36" s="18">
        <f t="shared" si="2"/>
        <v>44662.251655629138</v>
      </c>
    </row>
    <row r="37" spans="1:12" ht="15.75" customHeight="1">
      <c r="A37" s="16">
        <v>45740</v>
      </c>
      <c r="B37" s="17" t="s">
        <v>16</v>
      </c>
      <c r="C37" s="17" t="s">
        <v>17</v>
      </c>
      <c r="D37" s="17">
        <v>263</v>
      </c>
      <c r="E37" s="17">
        <v>50</v>
      </c>
      <c r="F37" s="17">
        <v>27</v>
      </c>
      <c r="G37" s="17">
        <v>17</v>
      </c>
      <c r="H37" s="18">
        <v>0</v>
      </c>
      <c r="I37" s="19">
        <f t="shared" si="4"/>
        <v>0.19011406844106463</v>
      </c>
      <c r="J37" s="19">
        <f t="shared" si="4"/>
        <v>0.54</v>
      </c>
      <c r="K37" s="19">
        <f t="shared" si="1"/>
        <v>6.4638783269961975E-2</v>
      </c>
      <c r="L37" s="18">
        <f t="shared" si="2"/>
        <v>0</v>
      </c>
    </row>
    <row r="38" spans="1:12" ht="15.75" customHeight="1">
      <c r="A38" s="16">
        <v>45747</v>
      </c>
      <c r="B38" s="17" t="s">
        <v>12</v>
      </c>
      <c r="C38" s="17" t="s">
        <v>21</v>
      </c>
      <c r="D38" s="17">
        <v>749</v>
      </c>
      <c r="E38" s="17">
        <v>182</v>
      </c>
      <c r="F38" s="17">
        <v>121</v>
      </c>
      <c r="G38" s="17">
        <v>85</v>
      </c>
      <c r="H38" s="18">
        <v>0</v>
      </c>
      <c r="I38" s="19">
        <f t="shared" si="4"/>
        <v>0.24299065420560748</v>
      </c>
      <c r="J38" s="19">
        <f t="shared" si="4"/>
        <v>0.6648351648351648</v>
      </c>
      <c r="K38" s="19">
        <f t="shared" si="1"/>
        <v>0.11348464619492657</v>
      </c>
      <c r="L38" s="18">
        <f t="shared" si="2"/>
        <v>0</v>
      </c>
    </row>
    <row r="39" spans="1:12" ht="15.75" customHeight="1">
      <c r="A39" s="16">
        <v>45747</v>
      </c>
      <c r="B39" s="17" t="s">
        <v>14</v>
      </c>
      <c r="C39" s="17" t="s">
        <v>19</v>
      </c>
      <c r="D39" s="17">
        <v>919</v>
      </c>
      <c r="E39" s="17">
        <v>264</v>
      </c>
      <c r="F39" s="17">
        <v>178</v>
      </c>
      <c r="G39" s="17">
        <v>141</v>
      </c>
      <c r="H39" s="18">
        <v>4639000</v>
      </c>
      <c r="I39" s="19">
        <f t="shared" si="4"/>
        <v>0.28726877040261156</v>
      </c>
      <c r="J39" s="19">
        <f t="shared" si="4"/>
        <v>0.6742424242424242</v>
      </c>
      <c r="K39" s="19">
        <f t="shared" si="1"/>
        <v>0.15342763873775844</v>
      </c>
      <c r="L39" s="18">
        <f t="shared" si="2"/>
        <v>32900.709219858159</v>
      </c>
    </row>
    <row r="40" spans="1:12" ht="15.75" customHeight="1">
      <c r="A40" s="16">
        <v>45747</v>
      </c>
      <c r="B40" s="17" t="s">
        <v>16</v>
      </c>
      <c r="C40" s="17" t="s">
        <v>17</v>
      </c>
      <c r="D40" s="17">
        <v>417</v>
      </c>
      <c r="E40" s="17">
        <v>84</v>
      </c>
      <c r="F40" s="17">
        <v>48</v>
      </c>
      <c r="G40" s="17">
        <v>33</v>
      </c>
      <c r="H40" s="18">
        <v>0</v>
      </c>
      <c r="I40" s="19">
        <f t="shared" si="4"/>
        <v>0.20143884892086331</v>
      </c>
      <c r="J40" s="19">
        <f t="shared" si="4"/>
        <v>0.5714285714285714</v>
      </c>
      <c r="K40" s="19">
        <f t="shared" si="1"/>
        <v>7.9136690647482008E-2</v>
      </c>
      <c r="L40" s="18">
        <f t="shared" si="2"/>
        <v>0</v>
      </c>
    </row>
    <row r="41" spans="1:12" ht="15.75" customHeight="1">
      <c r="A41" s="16">
        <v>45754</v>
      </c>
      <c r="B41" s="17" t="s">
        <v>12</v>
      </c>
      <c r="C41" s="17" t="s">
        <v>22</v>
      </c>
      <c r="D41" s="17">
        <v>956</v>
      </c>
      <c r="E41" s="17">
        <v>251</v>
      </c>
      <c r="F41" s="17">
        <v>168</v>
      </c>
      <c r="G41" s="17">
        <v>120</v>
      </c>
      <c r="H41" s="18">
        <v>3694000</v>
      </c>
      <c r="I41" s="19">
        <f t="shared" si="4"/>
        <v>0.2625523012552301</v>
      </c>
      <c r="J41" s="19">
        <f t="shared" si="4"/>
        <v>0.66932270916334657</v>
      </c>
      <c r="K41" s="19">
        <f t="shared" si="1"/>
        <v>0.12552301255230125</v>
      </c>
      <c r="L41" s="18">
        <f t="shared" si="2"/>
        <v>30783.333333333332</v>
      </c>
    </row>
    <row r="42" spans="1:12" ht="15.75" customHeight="1">
      <c r="A42" s="16">
        <v>45754</v>
      </c>
      <c r="B42" s="17" t="s">
        <v>14</v>
      </c>
      <c r="C42" s="17" t="s">
        <v>19</v>
      </c>
      <c r="D42" s="17">
        <v>1123</v>
      </c>
      <c r="E42" s="17">
        <v>286</v>
      </c>
      <c r="F42" s="17">
        <v>191</v>
      </c>
      <c r="G42" s="17">
        <v>149</v>
      </c>
      <c r="H42" s="18">
        <v>6347000</v>
      </c>
      <c r="I42" s="19">
        <f t="shared" si="4"/>
        <v>0.25467497773820125</v>
      </c>
      <c r="J42" s="19">
        <f t="shared" si="4"/>
        <v>0.66783216783216781</v>
      </c>
      <c r="K42" s="19">
        <f t="shared" si="1"/>
        <v>0.13268032056990206</v>
      </c>
      <c r="L42" s="18">
        <f t="shared" si="2"/>
        <v>42597.31543624161</v>
      </c>
    </row>
    <row r="43" spans="1:12" ht="15.75" customHeight="1">
      <c r="A43" s="16">
        <v>45754</v>
      </c>
      <c r="B43" s="17" t="s">
        <v>16</v>
      </c>
      <c r="C43" s="17" t="s">
        <v>17</v>
      </c>
      <c r="D43" s="17">
        <v>335</v>
      </c>
      <c r="E43" s="17">
        <v>70</v>
      </c>
      <c r="F43" s="17">
        <v>41</v>
      </c>
      <c r="G43" s="17">
        <v>29</v>
      </c>
      <c r="H43" s="18">
        <v>0</v>
      </c>
      <c r="I43" s="19">
        <f t="shared" si="4"/>
        <v>0.20895522388059701</v>
      </c>
      <c r="J43" s="19">
        <f t="shared" si="4"/>
        <v>0.58571428571428574</v>
      </c>
      <c r="K43" s="19">
        <f t="shared" si="1"/>
        <v>8.6567164179104483E-2</v>
      </c>
      <c r="L43" s="18">
        <f t="shared" si="2"/>
        <v>0</v>
      </c>
    </row>
    <row r="44" spans="1:12" ht="15.75" customHeight="1">
      <c r="A44" s="16">
        <v>45761</v>
      </c>
      <c r="B44" s="17" t="s">
        <v>12</v>
      </c>
      <c r="C44" s="17" t="s">
        <v>21</v>
      </c>
      <c r="D44" s="17">
        <v>757</v>
      </c>
      <c r="E44" s="17">
        <v>188</v>
      </c>
      <c r="F44" s="17">
        <v>121</v>
      </c>
      <c r="G44" s="17">
        <v>87</v>
      </c>
      <c r="H44" s="18">
        <v>0</v>
      </c>
      <c r="I44" s="19">
        <f t="shared" si="4"/>
        <v>0.24834874504623514</v>
      </c>
      <c r="J44" s="19">
        <f t="shared" si="4"/>
        <v>0.6436170212765957</v>
      </c>
      <c r="K44" s="19">
        <f t="shared" si="1"/>
        <v>0.11492734478203434</v>
      </c>
      <c r="L44" s="18">
        <f t="shared" si="2"/>
        <v>0</v>
      </c>
    </row>
    <row r="45" spans="1:12" ht="15.75" customHeight="1">
      <c r="A45" s="16">
        <v>45761</v>
      </c>
      <c r="B45" s="17" t="s">
        <v>14</v>
      </c>
      <c r="C45" s="17" t="s">
        <v>15</v>
      </c>
      <c r="D45" s="17">
        <v>884</v>
      </c>
      <c r="E45" s="17">
        <v>226</v>
      </c>
      <c r="F45" s="17">
        <v>146</v>
      </c>
      <c r="G45" s="17">
        <v>121</v>
      </c>
      <c r="H45" s="18">
        <v>0</v>
      </c>
      <c r="I45" s="19">
        <f t="shared" si="4"/>
        <v>0.25565610859728505</v>
      </c>
      <c r="J45" s="19">
        <f t="shared" si="4"/>
        <v>0.64601769911504425</v>
      </c>
      <c r="K45" s="19">
        <f t="shared" si="1"/>
        <v>0.13687782805429866</v>
      </c>
      <c r="L45" s="18">
        <f t="shared" si="2"/>
        <v>0</v>
      </c>
    </row>
    <row r="46" spans="1:12" ht="15.75" customHeight="1">
      <c r="A46" s="16">
        <v>45761</v>
      </c>
      <c r="B46" s="17" t="s">
        <v>16</v>
      </c>
      <c r="C46" s="17" t="s">
        <v>17</v>
      </c>
      <c r="D46" s="17">
        <v>510</v>
      </c>
      <c r="E46" s="17">
        <v>106</v>
      </c>
      <c r="F46" s="17">
        <v>61</v>
      </c>
      <c r="G46" s="17">
        <v>40</v>
      </c>
      <c r="H46" s="18">
        <v>0</v>
      </c>
      <c r="I46" s="19">
        <f t="shared" si="4"/>
        <v>0.20784313725490197</v>
      </c>
      <c r="J46" s="19">
        <f t="shared" si="4"/>
        <v>0.57547169811320753</v>
      </c>
      <c r="K46" s="19">
        <f t="shared" si="1"/>
        <v>7.8431372549019607E-2</v>
      </c>
      <c r="L46" s="18">
        <f t="shared" si="2"/>
        <v>0</v>
      </c>
    </row>
    <row r="47" spans="1:12" ht="15.75" customHeight="1">
      <c r="A47" s="16">
        <v>45768</v>
      </c>
      <c r="B47" s="17" t="s">
        <v>12</v>
      </c>
      <c r="C47" s="17" t="s">
        <v>18</v>
      </c>
      <c r="D47" s="17">
        <v>816</v>
      </c>
      <c r="E47" s="17">
        <v>182</v>
      </c>
      <c r="F47" s="17">
        <v>114</v>
      </c>
      <c r="G47" s="17">
        <v>85</v>
      </c>
      <c r="H47" s="18">
        <v>4229000</v>
      </c>
      <c r="I47" s="19">
        <f t="shared" si="4"/>
        <v>0.22303921568627452</v>
      </c>
      <c r="J47" s="19">
        <f t="shared" si="4"/>
        <v>0.62637362637362637</v>
      </c>
      <c r="K47" s="19">
        <f t="shared" si="1"/>
        <v>0.10416666666666667</v>
      </c>
      <c r="L47" s="18">
        <f t="shared" si="2"/>
        <v>49752.941176470587</v>
      </c>
    </row>
    <row r="48" spans="1:12" ht="15.75" customHeight="1">
      <c r="A48" s="16">
        <v>45768</v>
      </c>
      <c r="B48" s="17" t="s">
        <v>14</v>
      </c>
      <c r="C48" s="17" t="s">
        <v>15</v>
      </c>
      <c r="D48" s="17">
        <v>929</v>
      </c>
      <c r="E48" s="17">
        <v>266</v>
      </c>
      <c r="F48" s="17">
        <v>172</v>
      </c>
      <c r="G48" s="17">
        <v>128</v>
      </c>
      <c r="H48" s="18">
        <v>0</v>
      </c>
      <c r="I48" s="19">
        <f t="shared" si="4"/>
        <v>0.28632938643702904</v>
      </c>
      <c r="J48" s="19">
        <f t="shared" si="4"/>
        <v>0.64661654135338342</v>
      </c>
      <c r="K48" s="19">
        <f t="shared" si="1"/>
        <v>0.13778256189451021</v>
      </c>
      <c r="L48" s="18">
        <f t="shared" si="2"/>
        <v>0</v>
      </c>
    </row>
    <row r="49" spans="1:12" ht="15.75" customHeight="1">
      <c r="A49" s="16">
        <v>45768</v>
      </c>
      <c r="B49" s="17" t="s">
        <v>16</v>
      </c>
      <c r="C49" s="17" t="s">
        <v>20</v>
      </c>
      <c r="D49" s="17">
        <v>564</v>
      </c>
      <c r="E49" s="17">
        <v>117</v>
      </c>
      <c r="F49" s="17">
        <v>69</v>
      </c>
      <c r="G49" s="17">
        <v>45</v>
      </c>
      <c r="H49" s="18">
        <v>3607000</v>
      </c>
      <c r="I49" s="19">
        <f t="shared" si="4"/>
        <v>0.20744680851063829</v>
      </c>
      <c r="J49" s="19">
        <f t="shared" si="4"/>
        <v>0.58974358974358976</v>
      </c>
      <c r="K49" s="19">
        <f t="shared" si="1"/>
        <v>7.9787234042553196E-2</v>
      </c>
      <c r="L49" s="18">
        <f t="shared" si="2"/>
        <v>80155.555555555562</v>
      </c>
    </row>
    <row r="50" spans="1:12" ht="15.75" customHeight="1">
      <c r="A50" s="16">
        <v>45775</v>
      </c>
      <c r="B50" s="17" t="s">
        <v>12</v>
      </c>
      <c r="C50" s="17" t="s">
        <v>13</v>
      </c>
      <c r="D50" s="17">
        <v>537</v>
      </c>
      <c r="E50" s="17">
        <v>149</v>
      </c>
      <c r="F50" s="17">
        <v>105</v>
      </c>
      <c r="G50" s="17">
        <v>87</v>
      </c>
      <c r="H50" s="18">
        <v>379000</v>
      </c>
      <c r="I50" s="19">
        <f t="shared" ref="I50:J65" si="5">IFERROR(E50/D50,0)</f>
        <v>0.27746741154562382</v>
      </c>
      <c r="J50" s="19">
        <f t="shared" si="5"/>
        <v>0.70469798657718119</v>
      </c>
      <c r="K50" s="19">
        <f t="shared" si="1"/>
        <v>0.16201117318435754</v>
      </c>
      <c r="L50" s="18">
        <f t="shared" si="2"/>
        <v>4356.3218390804595</v>
      </c>
    </row>
    <row r="51" spans="1:12" ht="15.75" customHeight="1">
      <c r="A51" s="16">
        <v>45775</v>
      </c>
      <c r="B51" s="17" t="s">
        <v>14</v>
      </c>
      <c r="C51" s="17" t="s">
        <v>19</v>
      </c>
      <c r="D51" s="17">
        <v>980</v>
      </c>
      <c r="E51" s="17">
        <v>298</v>
      </c>
      <c r="F51" s="17">
        <v>204</v>
      </c>
      <c r="G51" s="17">
        <v>154</v>
      </c>
      <c r="H51" s="18">
        <v>6727000</v>
      </c>
      <c r="I51" s="19">
        <f t="shared" si="5"/>
        <v>0.30408163265306121</v>
      </c>
      <c r="J51" s="19">
        <f t="shared" si="5"/>
        <v>0.68456375838926176</v>
      </c>
      <c r="K51" s="19">
        <f t="shared" si="1"/>
        <v>0.15714285714285714</v>
      </c>
      <c r="L51" s="18">
        <f t="shared" si="2"/>
        <v>43681.818181818184</v>
      </c>
    </row>
    <row r="52" spans="1:12" ht="15.75" customHeight="1">
      <c r="A52" s="16">
        <v>45775</v>
      </c>
      <c r="B52" s="17" t="s">
        <v>16</v>
      </c>
      <c r="C52" s="17" t="s">
        <v>24</v>
      </c>
      <c r="D52" s="17">
        <v>649</v>
      </c>
      <c r="E52" s="17">
        <v>170</v>
      </c>
      <c r="F52" s="17">
        <v>96</v>
      </c>
      <c r="G52" s="17">
        <v>65</v>
      </c>
      <c r="H52" s="18">
        <v>2294000</v>
      </c>
      <c r="I52" s="19">
        <f t="shared" si="5"/>
        <v>0.26194144838212635</v>
      </c>
      <c r="J52" s="19">
        <f t="shared" si="5"/>
        <v>0.56470588235294117</v>
      </c>
      <c r="K52" s="19">
        <f t="shared" si="1"/>
        <v>0.10015408320493066</v>
      </c>
      <c r="L52" s="18">
        <f t="shared" si="2"/>
        <v>35292.307692307695</v>
      </c>
    </row>
    <row r="53" spans="1:12" ht="15.75" customHeight="1">
      <c r="A53" s="16">
        <v>45782</v>
      </c>
      <c r="B53" s="17" t="s">
        <v>12</v>
      </c>
      <c r="C53" s="17" t="s">
        <v>21</v>
      </c>
      <c r="D53" s="17">
        <v>764</v>
      </c>
      <c r="E53" s="17">
        <v>177</v>
      </c>
      <c r="F53" s="17">
        <v>116</v>
      </c>
      <c r="G53" s="17">
        <v>82</v>
      </c>
      <c r="H53" s="18">
        <v>0</v>
      </c>
      <c r="I53" s="19">
        <f t="shared" si="5"/>
        <v>0.23167539267015708</v>
      </c>
      <c r="J53" s="19">
        <f t="shared" si="5"/>
        <v>0.65536723163841804</v>
      </c>
      <c r="K53" s="19">
        <f t="shared" si="1"/>
        <v>0.10732984293193717</v>
      </c>
      <c r="L53" s="18">
        <f t="shared" si="2"/>
        <v>0</v>
      </c>
    </row>
    <row r="54" spans="1:12" ht="15.75" customHeight="1">
      <c r="A54" s="16">
        <v>45782</v>
      </c>
      <c r="B54" s="17" t="s">
        <v>14</v>
      </c>
      <c r="C54" s="17" t="s">
        <v>23</v>
      </c>
      <c r="D54" s="17">
        <v>1169</v>
      </c>
      <c r="E54" s="17">
        <v>352</v>
      </c>
      <c r="F54" s="17">
        <v>231</v>
      </c>
      <c r="G54" s="17">
        <v>179</v>
      </c>
      <c r="H54" s="18">
        <v>4931000</v>
      </c>
      <c r="I54" s="19">
        <f t="shared" si="5"/>
        <v>0.30111206159110349</v>
      </c>
      <c r="J54" s="19">
        <f t="shared" si="5"/>
        <v>0.65625</v>
      </c>
      <c r="K54" s="19">
        <f t="shared" si="1"/>
        <v>0.15312232677502138</v>
      </c>
      <c r="L54" s="18">
        <f t="shared" si="2"/>
        <v>27547.486033519552</v>
      </c>
    </row>
    <row r="55" spans="1:12" ht="15.75" customHeight="1">
      <c r="A55" s="16">
        <v>45782</v>
      </c>
      <c r="B55" s="17" t="s">
        <v>16</v>
      </c>
      <c r="C55" s="17" t="s">
        <v>24</v>
      </c>
      <c r="D55" s="17">
        <v>627</v>
      </c>
      <c r="E55" s="17">
        <v>144</v>
      </c>
      <c r="F55" s="17">
        <v>79</v>
      </c>
      <c r="G55" s="17">
        <v>55</v>
      </c>
      <c r="H55" s="18">
        <v>2413000</v>
      </c>
      <c r="I55" s="19">
        <f t="shared" si="5"/>
        <v>0.22966507177033493</v>
      </c>
      <c r="J55" s="19">
        <f t="shared" si="5"/>
        <v>0.54861111111111116</v>
      </c>
      <c r="K55" s="19">
        <f t="shared" si="1"/>
        <v>8.771929824561403E-2</v>
      </c>
      <c r="L55" s="18">
        <f t="shared" si="2"/>
        <v>43872.727272727272</v>
      </c>
    </row>
    <row r="56" spans="1:12" ht="15.75" customHeight="1">
      <c r="A56" s="16">
        <v>45789</v>
      </c>
      <c r="B56" s="17" t="s">
        <v>12</v>
      </c>
      <c r="C56" s="17" t="s">
        <v>18</v>
      </c>
      <c r="D56" s="17">
        <v>880</v>
      </c>
      <c r="E56" s="17">
        <v>190</v>
      </c>
      <c r="F56" s="17">
        <v>120</v>
      </c>
      <c r="G56" s="17">
        <v>81</v>
      </c>
      <c r="H56" s="18">
        <v>4587000</v>
      </c>
      <c r="I56" s="19">
        <f t="shared" si="5"/>
        <v>0.21590909090909091</v>
      </c>
      <c r="J56" s="19">
        <f t="shared" si="5"/>
        <v>0.63157894736842102</v>
      </c>
      <c r="K56" s="19">
        <f t="shared" si="1"/>
        <v>9.2045454545454541E-2</v>
      </c>
      <c r="L56" s="18">
        <f t="shared" si="2"/>
        <v>56629.629629629628</v>
      </c>
    </row>
    <row r="57" spans="1:12" ht="15.75" customHeight="1">
      <c r="A57" s="16">
        <v>45789</v>
      </c>
      <c r="B57" s="17" t="s">
        <v>14</v>
      </c>
      <c r="C57" s="17" t="s">
        <v>19</v>
      </c>
      <c r="D57" s="17">
        <v>1021</v>
      </c>
      <c r="E57" s="17">
        <v>276</v>
      </c>
      <c r="F57" s="17">
        <v>172</v>
      </c>
      <c r="G57" s="17">
        <v>130</v>
      </c>
      <c r="H57" s="18">
        <v>6025000</v>
      </c>
      <c r="I57" s="19">
        <f t="shared" si="5"/>
        <v>0.2703232125367287</v>
      </c>
      <c r="J57" s="19">
        <f t="shared" si="5"/>
        <v>0.62318840579710144</v>
      </c>
      <c r="K57" s="19">
        <f t="shared" si="1"/>
        <v>0.12732615083251714</v>
      </c>
      <c r="L57" s="18">
        <f t="shared" si="2"/>
        <v>46346.153846153844</v>
      </c>
    </row>
    <row r="58" spans="1:12" ht="15.75" customHeight="1">
      <c r="A58" s="16">
        <v>45789</v>
      </c>
      <c r="B58" s="17" t="s">
        <v>16</v>
      </c>
      <c r="C58" s="17" t="s">
        <v>24</v>
      </c>
      <c r="D58" s="17">
        <v>541</v>
      </c>
      <c r="E58" s="17">
        <v>138</v>
      </c>
      <c r="F58" s="17">
        <v>80</v>
      </c>
      <c r="G58" s="17">
        <v>52</v>
      </c>
      <c r="H58" s="18">
        <v>2424000</v>
      </c>
      <c r="I58" s="19">
        <f t="shared" si="5"/>
        <v>0.25508317929759705</v>
      </c>
      <c r="J58" s="19">
        <f t="shared" si="5"/>
        <v>0.57971014492753625</v>
      </c>
      <c r="K58" s="19">
        <f t="shared" si="1"/>
        <v>9.6118299445471345E-2</v>
      </c>
      <c r="L58" s="18">
        <f t="shared" si="2"/>
        <v>46615.384615384617</v>
      </c>
    </row>
    <row r="59" spans="1:12" ht="15.75" customHeight="1">
      <c r="A59" s="16">
        <v>45796</v>
      </c>
      <c r="B59" s="17" t="s">
        <v>12</v>
      </c>
      <c r="C59" s="17" t="s">
        <v>21</v>
      </c>
      <c r="D59" s="17">
        <v>798</v>
      </c>
      <c r="E59" s="17">
        <v>204</v>
      </c>
      <c r="F59" s="17">
        <v>135</v>
      </c>
      <c r="G59" s="17">
        <v>95</v>
      </c>
      <c r="H59" s="18">
        <v>0</v>
      </c>
      <c r="I59" s="19">
        <f t="shared" si="5"/>
        <v>0.25563909774436089</v>
      </c>
      <c r="J59" s="19">
        <f t="shared" si="5"/>
        <v>0.66176470588235292</v>
      </c>
      <c r="K59" s="19">
        <f t="shared" si="1"/>
        <v>0.11904761904761904</v>
      </c>
      <c r="L59" s="18">
        <f t="shared" si="2"/>
        <v>0</v>
      </c>
    </row>
    <row r="60" spans="1:12" ht="15.75" customHeight="1">
      <c r="A60" s="16">
        <v>45796</v>
      </c>
      <c r="B60" s="17" t="s">
        <v>14</v>
      </c>
      <c r="C60" s="17" t="s">
        <v>23</v>
      </c>
      <c r="D60" s="17">
        <v>1194</v>
      </c>
      <c r="E60" s="17">
        <v>399</v>
      </c>
      <c r="F60" s="17">
        <v>261</v>
      </c>
      <c r="G60" s="17">
        <v>203</v>
      </c>
      <c r="H60" s="18">
        <v>4872000</v>
      </c>
      <c r="I60" s="19">
        <f t="shared" si="5"/>
        <v>0.33417085427135679</v>
      </c>
      <c r="J60" s="19">
        <f t="shared" si="5"/>
        <v>0.65413533834586468</v>
      </c>
      <c r="K60" s="19">
        <f t="shared" si="1"/>
        <v>0.17001675041876047</v>
      </c>
      <c r="L60" s="18">
        <f t="shared" si="2"/>
        <v>24000</v>
      </c>
    </row>
    <row r="61" spans="1:12" ht="15.75" customHeight="1">
      <c r="A61" s="16">
        <v>45796</v>
      </c>
      <c r="B61" s="17" t="s">
        <v>16</v>
      </c>
      <c r="C61" s="17" t="s">
        <v>24</v>
      </c>
      <c r="D61" s="17">
        <v>596</v>
      </c>
      <c r="E61" s="17">
        <v>142</v>
      </c>
      <c r="F61" s="17">
        <v>77</v>
      </c>
      <c r="G61" s="17">
        <v>50</v>
      </c>
      <c r="H61" s="18">
        <v>1644000</v>
      </c>
      <c r="I61" s="19">
        <f t="shared" si="5"/>
        <v>0.23825503355704697</v>
      </c>
      <c r="J61" s="19">
        <f t="shared" si="5"/>
        <v>0.54225352112676062</v>
      </c>
      <c r="K61" s="19">
        <f t="shared" si="1"/>
        <v>8.3892617449664433E-2</v>
      </c>
      <c r="L61" s="18">
        <f t="shared" si="2"/>
        <v>32880</v>
      </c>
    </row>
    <row r="62" spans="1:12" ht="15.75" customHeight="1">
      <c r="A62" s="16">
        <v>45803</v>
      </c>
      <c r="B62" s="17" t="s">
        <v>12</v>
      </c>
      <c r="C62" s="17" t="s">
        <v>22</v>
      </c>
      <c r="D62" s="17">
        <v>881</v>
      </c>
      <c r="E62" s="17">
        <v>241</v>
      </c>
      <c r="F62" s="17">
        <v>161</v>
      </c>
      <c r="G62" s="17">
        <v>111</v>
      </c>
      <c r="H62" s="18">
        <v>2310000</v>
      </c>
      <c r="I62" s="19">
        <f t="shared" si="5"/>
        <v>0.27355278093076052</v>
      </c>
      <c r="J62" s="19">
        <f t="shared" si="5"/>
        <v>0.66804979253112029</v>
      </c>
      <c r="K62" s="19">
        <f t="shared" si="1"/>
        <v>0.12599318955732122</v>
      </c>
      <c r="L62" s="18">
        <f t="shared" si="2"/>
        <v>20810.81081081081</v>
      </c>
    </row>
    <row r="63" spans="1:12" ht="15.75" customHeight="1">
      <c r="A63" s="16">
        <v>45803</v>
      </c>
      <c r="B63" s="17" t="s">
        <v>14</v>
      </c>
      <c r="C63" s="17" t="s">
        <v>15</v>
      </c>
      <c r="D63" s="17">
        <v>773</v>
      </c>
      <c r="E63" s="17">
        <v>230</v>
      </c>
      <c r="F63" s="17">
        <v>156</v>
      </c>
      <c r="G63" s="17">
        <v>122</v>
      </c>
      <c r="H63" s="18">
        <v>0</v>
      </c>
      <c r="I63" s="19">
        <f t="shared" si="5"/>
        <v>0.29754204398447609</v>
      </c>
      <c r="J63" s="19">
        <f t="shared" si="5"/>
        <v>0.67826086956521736</v>
      </c>
      <c r="K63" s="19">
        <f t="shared" si="1"/>
        <v>0.15782664941785252</v>
      </c>
      <c r="L63" s="18">
        <f t="shared" si="2"/>
        <v>0</v>
      </c>
    </row>
    <row r="64" spans="1:12" ht="15.75" customHeight="1">
      <c r="A64" s="16">
        <v>45803</v>
      </c>
      <c r="B64" s="17" t="s">
        <v>16</v>
      </c>
      <c r="C64" s="17" t="s">
        <v>24</v>
      </c>
      <c r="D64" s="17">
        <v>649</v>
      </c>
      <c r="E64" s="17">
        <v>180</v>
      </c>
      <c r="F64" s="17">
        <v>107</v>
      </c>
      <c r="G64" s="17">
        <v>72</v>
      </c>
      <c r="H64" s="18">
        <v>1912000</v>
      </c>
      <c r="I64" s="19">
        <f t="shared" si="5"/>
        <v>0.27734976887519258</v>
      </c>
      <c r="J64" s="19">
        <f t="shared" si="5"/>
        <v>0.59444444444444444</v>
      </c>
      <c r="K64" s="19">
        <f t="shared" si="1"/>
        <v>0.11093990755007704</v>
      </c>
      <c r="L64" s="18">
        <f t="shared" si="2"/>
        <v>26555.555555555555</v>
      </c>
    </row>
    <row r="65" spans="1:12" ht="15.75" customHeight="1">
      <c r="A65" s="16">
        <v>45810</v>
      </c>
      <c r="B65" s="17" t="s">
        <v>12</v>
      </c>
      <c r="C65" s="17" t="s">
        <v>21</v>
      </c>
      <c r="D65" s="17">
        <v>854</v>
      </c>
      <c r="E65" s="17">
        <v>194</v>
      </c>
      <c r="F65" s="17">
        <v>129</v>
      </c>
      <c r="G65" s="17">
        <v>93</v>
      </c>
      <c r="H65" s="18">
        <v>0</v>
      </c>
      <c r="I65" s="19">
        <f t="shared" si="5"/>
        <v>0.22716627634660422</v>
      </c>
      <c r="J65" s="19">
        <f t="shared" si="5"/>
        <v>0.66494845360824739</v>
      </c>
      <c r="K65" s="19">
        <f t="shared" si="1"/>
        <v>0.10889929742388758</v>
      </c>
      <c r="L65" s="18">
        <f t="shared" si="2"/>
        <v>0</v>
      </c>
    </row>
    <row r="66" spans="1:12" ht="15.75" customHeight="1">
      <c r="A66" s="16">
        <v>45810</v>
      </c>
      <c r="B66" s="17" t="s">
        <v>14</v>
      </c>
      <c r="C66" s="17" t="s">
        <v>19</v>
      </c>
      <c r="D66" s="17">
        <v>1040</v>
      </c>
      <c r="E66" s="17">
        <v>290</v>
      </c>
      <c r="F66" s="17">
        <v>201</v>
      </c>
      <c r="G66" s="17">
        <v>160</v>
      </c>
      <c r="H66" s="18">
        <v>5861000</v>
      </c>
      <c r="I66" s="19">
        <f t="shared" ref="I66:J81" si="6">IFERROR(E66/D66,0)</f>
        <v>0.27884615384615385</v>
      </c>
      <c r="J66" s="19">
        <f t="shared" si="6"/>
        <v>0.69310344827586212</v>
      </c>
      <c r="K66" s="19">
        <f t="shared" si="1"/>
        <v>0.15384615384615385</v>
      </c>
      <c r="L66" s="18">
        <f t="shared" si="2"/>
        <v>36631.25</v>
      </c>
    </row>
    <row r="67" spans="1:12" ht="15.75" customHeight="1">
      <c r="A67" s="16">
        <v>45810</v>
      </c>
      <c r="B67" s="17" t="s">
        <v>16</v>
      </c>
      <c r="C67" s="17" t="s">
        <v>24</v>
      </c>
      <c r="D67" s="17">
        <v>763</v>
      </c>
      <c r="E67" s="17">
        <v>193</v>
      </c>
      <c r="F67" s="17">
        <v>114</v>
      </c>
      <c r="G67" s="17">
        <v>76</v>
      </c>
      <c r="H67" s="18">
        <v>3243000</v>
      </c>
      <c r="I67" s="19">
        <f t="shared" si="6"/>
        <v>0.25294888597640891</v>
      </c>
      <c r="J67" s="19">
        <f t="shared" si="6"/>
        <v>0.59067357512953367</v>
      </c>
      <c r="K67" s="19">
        <f t="shared" si="1"/>
        <v>9.9606815203145474E-2</v>
      </c>
      <c r="L67" s="18">
        <f t="shared" si="2"/>
        <v>42671.052631578947</v>
      </c>
    </row>
    <row r="68" spans="1:12" ht="15.75" customHeight="1">
      <c r="A68" s="16">
        <v>45817</v>
      </c>
      <c r="B68" s="17" t="s">
        <v>12</v>
      </c>
      <c r="C68" s="17" t="s">
        <v>22</v>
      </c>
      <c r="D68" s="17">
        <v>941</v>
      </c>
      <c r="E68" s="17">
        <v>260</v>
      </c>
      <c r="F68" s="17">
        <v>167</v>
      </c>
      <c r="G68" s="17">
        <v>121</v>
      </c>
      <c r="H68" s="18">
        <v>3109000</v>
      </c>
      <c r="I68" s="19">
        <f t="shared" si="6"/>
        <v>0.27630180658873538</v>
      </c>
      <c r="J68" s="19">
        <f t="shared" si="6"/>
        <v>0.64230769230769236</v>
      </c>
      <c r="K68" s="19">
        <f t="shared" si="1"/>
        <v>0.12858660998937302</v>
      </c>
      <c r="L68" s="18">
        <f t="shared" si="2"/>
        <v>25694.214876033056</v>
      </c>
    </row>
    <row r="69" spans="1:12" ht="15.75" customHeight="1">
      <c r="A69" s="16">
        <v>45817</v>
      </c>
      <c r="B69" s="17" t="s">
        <v>14</v>
      </c>
      <c r="C69" s="17" t="s">
        <v>15</v>
      </c>
      <c r="D69" s="17">
        <v>898</v>
      </c>
      <c r="E69" s="17">
        <v>243</v>
      </c>
      <c r="F69" s="17">
        <v>154</v>
      </c>
      <c r="G69" s="17">
        <v>118</v>
      </c>
      <c r="H69" s="18">
        <v>0</v>
      </c>
      <c r="I69" s="19">
        <f t="shared" si="6"/>
        <v>0.27060133630289535</v>
      </c>
      <c r="J69" s="19">
        <f t="shared" si="6"/>
        <v>0.63374485596707819</v>
      </c>
      <c r="K69" s="19">
        <f t="shared" si="1"/>
        <v>0.13140311804008908</v>
      </c>
      <c r="L69" s="18">
        <f t="shared" si="2"/>
        <v>0</v>
      </c>
    </row>
    <row r="70" spans="1:12" ht="15.75" customHeight="1">
      <c r="A70" s="16">
        <v>45817</v>
      </c>
      <c r="B70" s="17" t="s">
        <v>16</v>
      </c>
      <c r="C70" s="17" t="s">
        <v>20</v>
      </c>
      <c r="D70" s="17">
        <v>678</v>
      </c>
      <c r="E70" s="17">
        <v>126</v>
      </c>
      <c r="F70" s="17">
        <v>75</v>
      </c>
      <c r="G70" s="17">
        <v>51</v>
      </c>
      <c r="H70" s="18">
        <v>3291000</v>
      </c>
      <c r="I70" s="19">
        <f t="shared" si="6"/>
        <v>0.18584070796460178</v>
      </c>
      <c r="J70" s="19">
        <f t="shared" si="6"/>
        <v>0.59523809523809523</v>
      </c>
      <c r="K70" s="19">
        <f t="shared" si="1"/>
        <v>7.5221238938053103E-2</v>
      </c>
      <c r="L70" s="18">
        <f t="shared" si="2"/>
        <v>64529.411764705881</v>
      </c>
    </row>
    <row r="71" spans="1:12" ht="15.75" customHeight="1">
      <c r="A71" s="16">
        <v>45824</v>
      </c>
      <c r="B71" s="17" t="s">
        <v>12</v>
      </c>
      <c r="C71" s="17" t="s">
        <v>18</v>
      </c>
      <c r="D71" s="17">
        <v>897</v>
      </c>
      <c r="E71" s="17">
        <v>188</v>
      </c>
      <c r="F71" s="17">
        <v>118</v>
      </c>
      <c r="G71" s="17">
        <v>85</v>
      </c>
      <c r="H71" s="18">
        <v>5936000</v>
      </c>
      <c r="I71" s="19">
        <f t="shared" si="6"/>
        <v>0.20958751393534003</v>
      </c>
      <c r="J71" s="19">
        <f t="shared" si="6"/>
        <v>0.62765957446808507</v>
      </c>
      <c r="K71" s="19">
        <f t="shared" si="1"/>
        <v>9.4760312151616496E-2</v>
      </c>
      <c r="L71" s="18">
        <f t="shared" si="2"/>
        <v>69835.294117647063</v>
      </c>
    </row>
    <row r="72" spans="1:12" ht="15.75" customHeight="1">
      <c r="A72" s="16">
        <v>45824</v>
      </c>
      <c r="B72" s="17" t="s">
        <v>14</v>
      </c>
      <c r="C72" s="17" t="s">
        <v>23</v>
      </c>
      <c r="D72" s="17">
        <v>1191</v>
      </c>
      <c r="E72" s="17">
        <v>372</v>
      </c>
      <c r="F72" s="17">
        <v>249</v>
      </c>
      <c r="G72" s="17">
        <v>200</v>
      </c>
      <c r="H72" s="18">
        <v>3359000</v>
      </c>
      <c r="I72" s="19">
        <f t="shared" si="6"/>
        <v>0.31234256926952142</v>
      </c>
      <c r="J72" s="19">
        <f t="shared" si="6"/>
        <v>0.66935483870967738</v>
      </c>
      <c r="K72" s="19">
        <f t="shared" si="1"/>
        <v>0.16792611251049538</v>
      </c>
      <c r="L72" s="18">
        <f t="shared" si="2"/>
        <v>16795</v>
      </c>
    </row>
    <row r="73" spans="1:12" ht="15.75" customHeight="1">
      <c r="A73" s="16">
        <v>45824</v>
      </c>
      <c r="B73" s="17" t="s">
        <v>16</v>
      </c>
      <c r="C73" s="17" t="s">
        <v>20</v>
      </c>
      <c r="D73" s="17">
        <v>536</v>
      </c>
      <c r="E73" s="17">
        <v>114</v>
      </c>
      <c r="F73" s="17">
        <v>65</v>
      </c>
      <c r="G73" s="17">
        <v>40</v>
      </c>
      <c r="H73" s="18">
        <v>3091000</v>
      </c>
      <c r="I73" s="19">
        <f t="shared" si="6"/>
        <v>0.21268656716417911</v>
      </c>
      <c r="J73" s="19">
        <f t="shared" si="6"/>
        <v>0.57017543859649122</v>
      </c>
      <c r="K73" s="19">
        <f t="shared" si="1"/>
        <v>7.4626865671641784E-2</v>
      </c>
      <c r="L73" s="18">
        <f t="shared" si="2"/>
        <v>77275</v>
      </c>
    </row>
    <row r="74" spans="1:12" ht="15.75" customHeight="1">
      <c r="A74" s="16">
        <v>45831</v>
      </c>
      <c r="B74" s="17" t="s">
        <v>12</v>
      </c>
      <c r="C74" s="17" t="s">
        <v>18</v>
      </c>
      <c r="D74" s="17">
        <v>748</v>
      </c>
      <c r="E74" s="17">
        <v>143</v>
      </c>
      <c r="F74" s="17">
        <v>96</v>
      </c>
      <c r="G74" s="17">
        <v>69</v>
      </c>
      <c r="H74" s="18">
        <v>4084000</v>
      </c>
      <c r="I74" s="19">
        <f t="shared" si="6"/>
        <v>0.19117647058823528</v>
      </c>
      <c r="J74" s="19">
        <f t="shared" si="6"/>
        <v>0.67132867132867136</v>
      </c>
      <c r="K74" s="19">
        <f t="shared" si="1"/>
        <v>9.2245989304812828E-2</v>
      </c>
      <c r="L74" s="18">
        <f t="shared" si="2"/>
        <v>59188.405797101448</v>
      </c>
    </row>
    <row r="75" spans="1:12" ht="15.75" customHeight="1">
      <c r="A75" s="16">
        <v>45831</v>
      </c>
      <c r="B75" s="17" t="s">
        <v>14</v>
      </c>
      <c r="C75" s="17" t="s">
        <v>19</v>
      </c>
      <c r="D75" s="17">
        <v>1174</v>
      </c>
      <c r="E75" s="17">
        <v>359</v>
      </c>
      <c r="F75" s="17">
        <v>230</v>
      </c>
      <c r="G75" s="17">
        <v>194</v>
      </c>
      <c r="H75" s="18">
        <v>6685000</v>
      </c>
      <c r="I75" s="19">
        <f t="shared" si="6"/>
        <v>0.30579216354344124</v>
      </c>
      <c r="J75" s="19">
        <f t="shared" si="6"/>
        <v>0.64066852367688021</v>
      </c>
      <c r="K75" s="19">
        <f t="shared" si="1"/>
        <v>0.16524701873935263</v>
      </c>
      <c r="L75" s="18">
        <f t="shared" si="2"/>
        <v>34458.762886597935</v>
      </c>
    </row>
    <row r="76" spans="1:12" ht="15.75" customHeight="1">
      <c r="A76" s="16">
        <v>45831</v>
      </c>
      <c r="B76" s="17" t="s">
        <v>16</v>
      </c>
      <c r="C76" s="17" t="s">
        <v>20</v>
      </c>
      <c r="D76" s="17">
        <v>601</v>
      </c>
      <c r="E76" s="17">
        <v>137</v>
      </c>
      <c r="F76" s="17">
        <v>81</v>
      </c>
      <c r="G76" s="17">
        <v>51</v>
      </c>
      <c r="H76" s="18">
        <v>4131000</v>
      </c>
      <c r="I76" s="19">
        <f t="shared" si="6"/>
        <v>0.22795341098169716</v>
      </c>
      <c r="J76" s="19">
        <f t="shared" si="6"/>
        <v>0.59124087591240881</v>
      </c>
      <c r="K76" s="19">
        <f t="shared" si="1"/>
        <v>8.4858569051580693E-2</v>
      </c>
      <c r="L76" s="18">
        <f t="shared" si="2"/>
        <v>81000</v>
      </c>
    </row>
    <row r="77" spans="1:12" ht="15.75" customHeight="1">
      <c r="A77" s="16">
        <v>45838</v>
      </c>
      <c r="B77" s="17" t="s">
        <v>12</v>
      </c>
      <c r="C77" s="17" t="s">
        <v>21</v>
      </c>
      <c r="D77" s="17">
        <v>770</v>
      </c>
      <c r="E77" s="17">
        <v>179</v>
      </c>
      <c r="F77" s="17">
        <v>116</v>
      </c>
      <c r="G77" s="17">
        <v>89</v>
      </c>
      <c r="H77" s="18">
        <v>0</v>
      </c>
      <c r="I77" s="19">
        <f t="shared" si="6"/>
        <v>0.23246753246753246</v>
      </c>
      <c r="J77" s="19">
        <f t="shared" si="6"/>
        <v>0.64804469273743015</v>
      </c>
      <c r="K77" s="19">
        <f t="shared" si="1"/>
        <v>0.11558441558441558</v>
      </c>
      <c r="L77" s="18">
        <f t="shared" si="2"/>
        <v>0</v>
      </c>
    </row>
    <row r="78" spans="1:12" ht="15.75" customHeight="1">
      <c r="A78" s="16">
        <v>45838</v>
      </c>
      <c r="B78" s="17" t="s">
        <v>14</v>
      </c>
      <c r="C78" s="17" t="s">
        <v>19</v>
      </c>
      <c r="D78" s="17">
        <v>1017</v>
      </c>
      <c r="E78" s="17">
        <v>318</v>
      </c>
      <c r="F78" s="17">
        <v>206</v>
      </c>
      <c r="G78" s="17">
        <v>162</v>
      </c>
      <c r="H78" s="18">
        <v>5838000</v>
      </c>
      <c r="I78" s="19">
        <f t="shared" si="6"/>
        <v>0.31268436578171094</v>
      </c>
      <c r="J78" s="19">
        <f t="shared" si="6"/>
        <v>0.64779874213836475</v>
      </c>
      <c r="K78" s="19">
        <f t="shared" si="1"/>
        <v>0.15929203539823009</v>
      </c>
      <c r="L78" s="18">
        <f t="shared" si="2"/>
        <v>36037.037037037036</v>
      </c>
    </row>
    <row r="79" spans="1:12" ht="15.75" customHeight="1">
      <c r="A79" s="16">
        <v>45838</v>
      </c>
      <c r="B79" s="17" t="s">
        <v>16</v>
      </c>
      <c r="C79" s="17" t="s">
        <v>24</v>
      </c>
      <c r="D79" s="17">
        <v>668</v>
      </c>
      <c r="E79" s="17">
        <v>161</v>
      </c>
      <c r="F79" s="17">
        <v>92</v>
      </c>
      <c r="G79" s="17">
        <v>61</v>
      </c>
      <c r="H79" s="18">
        <v>2791000</v>
      </c>
      <c r="I79" s="19">
        <f t="shared" si="6"/>
        <v>0.2410179640718563</v>
      </c>
      <c r="J79" s="19">
        <f t="shared" si="6"/>
        <v>0.5714285714285714</v>
      </c>
      <c r="K79" s="19">
        <f t="shared" si="1"/>
        <v>9.1317365269461076E-2</v>
      </c>
      <c r="L79" s="18">
        <f t="shared" si="2"/>
        <v>45754.098360655735</v>
      </c>
    </row>
    <row r="80" spans="1:12" ht="15.75" customHeight="1">
      <c r="A80" s="16">
        <v>45845</v>
      </c>
      <c r="B80" s="17" t="s">
        <v>12</v>
      </c>
      <c r="C80" s="17" t="s">
        <v>21</v>
      </c>
      <c r="D80" s="17">
        <v>719</v>
      </c>
      <c r="E80" s="17">
        <v>162</v>
      </c>
      <c r="F80" s="17">
        <v>110</v>
      </c>
      <c r="G80" s="17">
        <v>79</v>
      </c>
      <c r="H80" s="18">
        <v>0</v>
      </c>
      <c r="I80" s="19">
        <f t="shared" si="6"/>
        <v>0.22531293463143254</v>
      </c>
      <c r="J80" s="19">
        <f t="shared" si="6"/>
        <v>0.67901234567901236</v>
      </c>
      <c r="K80" s="19">
        <f t="shared" si="1"/>
        <v>0.10987482614742698</v>
      </c>
      <c r="L80" s="18">
        <f t="shared" si="2"/>
        <v>0</v>
      </c>
    </row>
    <row r="81" spans="1:12" ht="15.75" customHeight="1">
      <c r="A81" s="16">
        <v>45845</v>
      </c>
      <c r="B81" s="17" t="s">
        <v>14</v>
      </c>
      <c r="C81" s="17" t="s">
        <v>23</v>
      </c>
      <c r="D81" s="17">
        <v>1181</v>
      </c>
      <c r="E81" s="17">
        <v>391</v>
      </c>
      <c r="F81" s="17">
        <v>238</v>
      </c>
      <c r="G81" s="17">
        <v>183</v>
      </c>
      <c r="H81" s="18">
        <v>4362000</v>
      </c>
      <c r="I81" s="19">
        <f t="shared" si="6"/>
        <v>0.33107535986452158</v>
      </c>
      <c r="J81" s="19">
        <f t="shared" si="6"/>
        <v>0.60869565217391308</v>
      </c>
      <c r="K81" s="19">
        <f t="shared" si="1"/>
        <v>0.15495342929720576</v>
      </c>
      <c r="L81" s="18">
        <f t="shared" si="2"/>
        <v>23836.065573770491</v>
      </c>
    </row>
    <row r="82" spans="1:12" ht="15.75" customHeight="1">
      <c r="A82" s="16">
        <v>45845</v>
      </c>
      <c r="B82" s="17" t="s">
        <v>16</v>
      </c>
      <c r="C82" s="17" t="s">
        <v>17</v>
      </c>
      <c r="D82" s="17">
        <v>431</v>
      </c>
      <c r="E82" s="17">
        <v>100</v>
      </c>
      <c r="F82" s="17">
        <v>55</v>
      </c>
      <c r="G82" s="17">
        <v>36</v>
      </c>
      <c r="H82" s="18">
        <v>0</v>
      </c>
      <c r="I82" s="19">
        <f t="shared" ref="I82:J97" si="7">IFERROR(E82/D82,0)</f>
        <v>0.23201856148491878</v>
      </c>
      <c r="J82" s="19">
        <f t="shared" si="7"/>
        <v>0.55000000000000004</v>
      </c>
      <c r="K82" s="19">
        <f t="shared" si="1"/>
        <v>8.3526682134570762E-2</v>
      </c>
      <c r="L82" s="18">
        <f t="shared" si="2"/>
        <v>0</v>
      </c>
    </row>
    <row r="83" spans="1:12" ht="15.75" customHeight="1">
      <c r="A83" s="16">
        <v>45852</v>
      </c>
      <c r="B83" s="17" t="s">
        <v>12</v>
      </c>
      <c r="C83" s="17" t="s">
        <v>13</v>
      </c>
      <c r="D83" s="17">
        <v>411</v>
      </c>
      <c r="E83" s="17">
        <v>108</v>
      </c>
      <c r="F83" s="17">
        <v>67</v>
      </c>
      <c r="G83" s="17">
        <v>53</v>
      </c>
      <c r="H83" s="18">
        <v>348000</v>
      </c>
      <c r="I83" s="19">
        <f t="shared" si="7"/>
        <v>0.26277372262773724</v>
      </c>
      <c r="J83" s="19">
        <f t="shared" si="7"/>
        <v>0.62037037037037035</v>
      </c>
      <c r="K83" s="19">
        <f t="shared" si="1"/>
        <v>0.12895377128953772</v>
      </c>
      <c r="L83" s="18">
        <f t="shared" si="2"/>
        <v>6566.0377358490568</v>
      </c>
    </row>
    <row r="84" spans="1:12" ht="15.75" customHeight="1">
      <c r="A84" s="16">
        <v>45852</v>
      </c>
      <c r="B84" s="17" t="s">
        <v>14</v>
      </c>
      <c r="C84" s="17" t="s">
        <v>19</v>
      </c>
      <c r="D84" s="17">
        <v>1109</v>
      </c>
      <c r="E84" s="17">
        <v>368</v>
      </c>
      <c r="F84" s="17">
        <v>222</v>
      </c>
      <c r="G84" s="17">
        <v>184</v>
      </c>
      <c r="H84" s="18">
        <v>6187000</v>
      </c>
      <c r="I84" s="19">
        <f t="shared" si="7"/>
        <v>0.33183047790802522</v>
      </c>
      <c r="J84" s="19">
        <f t="shared" si="7"/>
        <v>0.60326086956521741</v>
      </c>
      <c r="K84" s="19">
        <f t="shared" si="1"/>
        <v>0.16591523895401261</v>
      </c>
      <c r="L84" s="18">
        <f t="shared" si="2"/>
        <v>33625</v>
      </c>
    </row>
    <row r="85" spans="1:12" ht="15.75" customHeight="1">
      <c r="A85" s="16">
        <v>45852</v>
      </c>
      <c r="B85" s="17" t="s">
        <v>16</v>
      </c>
      <c r="C85" s="17" t="s">
        <v>17</v>
      </c>
      <c r="D85" s="17">
        <v>422</v>
      </c>
      <c r="E85" s="17">
        <v>87</v>
      </c>
      <c r="F85" s="17">
        <v>50</v>
      </c>
      <c r="G85" s="17">
        <v>32</v>
      </c>
      <c r="H85" s="18">
        <v>0</v>
      </c>
      <c r="I85" s="19">
        <f t="shared" si="7"/>
        <v>0.20616113744075829</v>
      </c>
      <c r="J85" s="19">
        <f t="shared" si="7"/>
        <v>0.57471264367816088</v>
      </c>
      <c r="K85" s="19">
        <f t="shared" si="1"/>
        <v>7.582938388625593E-2</v>
      </c>
      <c r="L85" s="18">
        <f t="shared" si="2"/>
        <v>0</v>
      </c>
    </row>
    <row r="86" spans="1:12" ht="15.75" customHeight="1">
      <c r="A86" s="16">
        <v>45859</v>
      </c>
      <c r="B86" s="17" t="s">
        <v>12</v>
      </c>
      <c r="C86" s="17" t="s">
        <v>21</v>
      </c>
      <c r="D86" s="17">
        <v>710</v>
      </c>
      <c r="E86" s="17">
        <v>157</v>
      </c>
      <c r="F86" s="17">
        <v>113</v>
      </c>
      <c r="G86" s="17">
        <v>84</v>
      </c>
      <c r="H86" s="18">
        <v>0</v>
      </c>
      <c r="I86" s="19">
        <f t="shared" si="7"/>
        <v>0.22112676056338029</v>
      </c>
      <c r="J86" s="19">
        <f t="shared" si="7"/>
        <v>0.71974522292993626</v>
      </c>
      <c r="K86" s="19">
        <f t="shared" si="1"/>
        <v>0.11830985915492957</v>
      </c>
      <c r="L86" s="18">
        <f t="shared" si="2"/>
        <v>0</v>
      </c>
    </row>
    <row r="87" spans="1:12" ht="15.75" customHeight="1">
      <c r="A87" s="16">
        <v>45859</v>
      </c>
      <c r="B87" s="17" t="s">
        <v>14</v>
      </c>
      <c r="C87" s="17" t="s">
        <v>15</v>
      </c>
      <c r="D87" s="17">
        <v>962</v>
      </c>
      <c r="E87" s="17">
        <v>267</v>
      </c>
      <c r="F87" s="17">
        <v>176</v>
      </c>
      <c r="G87" s="17">
        <v>136</v>
      </c>
      <c r="H87" s="18">
        <v>0</v>
      </c>
      <c r="I87" s="19">
        <f t="shared" si="7"/>
        <v>0.27754677754677753</v>
      </c>
      <c r="J87" s="19">
        <f t="shared" si="7"/>
        <v>0.65917602996254676</v>
      </c>
      <c r="K87" s="19">
        <f t="shared" si="1"/>
        <v>0.14137214137214138</v>
      </c>
      <c r="L87" s="18">
        <f t="shared" si="2"/>
        <v>0</v>
      </c>
    </row>
    <row r="88" spans="1:12" ht="15.75" customHeight="1">
      <c r="A88" s="16">
        <v>45859</v>
      </c>
      <c r="B88" s="17" t="s">
        <v>16</v>
      </c>
      <c r="C88" s="17" t="s">
        <v>20</v>
      </c>
      <c r="D88" s="17">
        <v>547</v>
      </c>
      <c r="E88" s="17">
        <v>108</v>
      </c>
      <c r="F88" s="17">
        <v>62</v>
      </c>
      <c r="G88" s="17">
        <v>42</v>
      </c>
      <c r="H88" s="18">
        <v>2822000</v>
      </c>
      <c r="I88" s="19">
        <f t="shared" si="7"/>
        <v>0.19744058500914077</v>
      </c>
      <c r="J88" s="19">
        <f t="shared" si="7"/>
        <v>0.57407407407407407</v>
      </c>
      <c r="K88" s="19">
        <f t="shared" si="1"/>
        <v>7.6782449725776969E-2</v>
      </c>
      <c r="L88" s="18">
        <f t="shared" si="2"/>
        <v>67190.476190476184</v>
      </c>
    </row>
    <row r="89" spans="1:12" ht="15.75" customHeight="1">
      <c r="A89" s="16">
        <v>45866</v>
      </c>
      <c r="B89" s="17" t="s">
        <v>12</v>
      </c>
      <c r="C89" s="17" t="s">
        <v>18</v>
      </c>
      <c r="D89" s="17">
        <v>907</v>
      </c>
      <c r="E89" s="17">
        <v>244</v>
      </c>
      <c r="F89" s="17">
        <v>157</v>
      </c>
      <c r="G89" s="17">
        <v>111</v>
      </c>
      <c r="H89" s="18">
        <v>4749000</v>
      </c>
      <c r="I89" s="19">
        <f t="shared" si="7"/>
        <v>0.26901874310915103</v>
      </c>
      <c r="J89" s="19">
        <f t="shared" si="7"/>
        <v>0.64344262295081966</v>
      </c>
      <c r="K89" s="19">
        <f t="shared" si="1"/>
        <v>0.12238147739801543</v>
      </c>
      <c r="L89" s="18">
        <f t="shared" si="2"/>
        <v>42783.783783783787</v>
      </c>
    </row>
    <row r="90" spans="1:12" ht="15.75" customHeight="1">
      <c r="A90" s="16">
        <v>45866</v>
      </c>
      <c r="B90" s="17" t="s">
        <v>14</v>
      </c>
      <c r="C90" s="17" t="s">
        <v>15</v>
      </c>
      <c r="D90" s="17">
        <v>886</v>
      </c>
      <c r="E90" s="17">
        <v>269</v>
      </c>
      <c r="F90" s="17">
        <v>176</v>
      </c>
      <c r="G90" s="17">
        <v>136</v>
      </c>
      <c r="H90" s="18">
        <v>0</v>
      </c>
      <c r="I90" s="19">
        <f t="shared" si="7"/>
        <v>0.30361173814898418</v>
      </c>
      <c r="J90" s="19">
        <f t="shared" si="7"/>
        <v>0.65427509293680297</v>
      </c>
      <c r="K90" s="19">
        <f t="shared" si="1"/>
        <v>0.15349887133182843</v>
      </c>
      <c r="L90" s="18">
        <f t="shared" si="2"/>
        <v>0</v>
      </c>
    </row>
    <row r="91" spans="1:12" ht="15.75" customHeight="1">
      <c r="A91" s="16">
        <v>45866</v>
      </c>
      <c r="B91" s="17" t="s">
        <v>16</v>
      </c>
      <c r="C91" s="17" t="s">
        <v>20</v>
      </c>
      <c r="D91" s="17">
        <v>591</v>
      </c>
      <c r="E91" s="17">
        <v>128</v>
      </c>
      <c r="F91" s="17">
        <v>73</v>
      </c>
      <c r="G91" s="17">
        <v>49</v>
      </c>
      <c r="H91" s="18">
        <v>2955000</v>
      </c>
      <c r="I91" s="19">
        <f t="shared" si="7"/>
        <v>0.21658206429780033</v>
      </c>
      <c r="J91" s="19">
        <f t="shared" si="7"/>
        <v>0.5703125</v>
      </c>
      <c r="K91" s="19">
        <f t="shared" si="1"/>
        <v>8.2910321489001695E-2</v>
      </c>
      <c r="L91" s="18">
        <f t="shared" si="2"/>
        <v>60306.122448979593</v>
      </c>
    </row>
    <row r="92" spans="1:12" ht="15.75" customHeight="1">
      <c r="A92" s="16">
        <v>45873</v>
      </c>
      <c r="B92" s="17" t="s">
        <v>12</v>
      </c>
      <c r="C92" s="17" t="s">
        <v>13</v>
      </c>
      <c r="D92" s="17">
        <v>533</v>
      </c>
      <c r="E92" s="17">
        <v>157</v>
      </c>
      <c r="F92" s="17">
        <v>106</v>
      </c>
      <c r="G92" s="17">
        <v>84</v>
      </c>
      <c r="H92" s="18">
        <v>406000</v>
      </c>
      <c r="I92" s="19">
        <f t="shared" si="7"/>
        <v>0.2945590994371482</v>
      </c>
      <c r="J92" s="19">
        <f t="shared" si="7"/>
        <v>0.67515923566878977</v>
      </c>
      <c r="K92" s="19">
        <f t="shared" si="1"/>
        <v>0.1575984990619137</v>
      </c>
      <c r="L92" s="18">
        <f t="shared" si="2"/>
        <v>4833.333333333333</v>
      </c>
    </row>
    <row r="93" spans="1:12" ht="15.75" customHeight="1">
      <c r="A93" s="16">
        <v>45873</v>
      </c>
      <c r="B93" s="17" t="s">
        <v>14</v>
      </c>
      <c r="C93" s="17" t="s">
        <v>15</v>
      </c>
      <c r="D93" s="17">
        <v>802</v>
      </c>
      <c r="E93" s="17">
        <v>251</v>
      </c>
      <c r="F93" s="17">
        <v>166</v>
      </c>
      <c r="G93" s="17">
        <v>131</v>
      </c>
      <c r="H93" s="18">
        <v>0</v>
      </c>
      <c r="I93" s="19">
        <f t="shared" si="7"/>
        <v>0.31296758104738154</v>
      </c>
      <c r="J93" s="19">
        <f t="shared" si="7"/>
        <v>0.66135458167330674</v>
      </c>
      <c r="K93" s="19">
        <f t="shared" si="1"/>
        <v>0.1633416458852868</v>
      </c>
      <c r="L93" s="18">
        <f t="shared" si="2"/>
        <v>0</v>
      </c>
    </row>
    <row r="94" spans="1:12" ht="15.75" customHeight="1">
      <c r="A94" s="16">
        <v>45873</v>
      </c>
      <c r="B94" s="17" t="s">
        <v>16</v>
      </c>
      <c r="C94" s="17" t="s">
        <v>24</v>
      </c>
      <c r="D94" s="17">
        <v>739</v>
      </c>
      <c r="E94" s="17">
        <v>163</v>
      </c>
      <c r="F94" s="17">
        <v>94</v>
      </c>
      <c r="G94" s="17">
        <v>60</v>
      </c>
      <c r="H94" s="18">
        <v>2077000</v>
      </c>
      <c r="I94" s="19">
        <f t="shared" si="7"/>
        <v>0.22056833558863329</v>
      </c>
      <c r="J94" s="19">
        <f t="shared" si="7"/>
        <v>0.57668711656441718</v>
      </c>
      <c r="K94" s="19">
        <f t="shared" si="1"/>
        <v>8.1190798376184037E-2</v>
      </c>
      <c r="L94" s="18">
        <f t="shared" si="2"/>
        <v>34616.666666666664</v>
      </c>
    </row>
    <row r="95" spans="1:12" ht="15.75" customHeight="1">
      <c r="A95" s="16">
        <v>45880</v>
      </c>
      <c r="B95" s="17" t="s">
        <v>12</v>
      </c>
      <c r="C95" s="17" t="s">
        <v>13</v>
      </c>
      <c r="D95" s="17">
        <v>608</v>
      </c>
      <c r="E95" s="17">
        <v>173</v>
      </c>
      <c r="F95" s="17">
        <v>119</v>
      </c>
      <c r="G95" s="17">
        <v>95</v>
      </c>
      <c r="H95" s="18">
        <v>621000</v>
      </c>
      <c r="I95" s="19">
        <f t="shared" si="7"/>
        <v>0.28453947368421051</v>
      </c>
      <c r="J95" s="19">
        <f t="shared" si="7"/>
        <v>0.68786127167630062</v>
      </c>
      <c r="K95" s="19">
        <f t="shared" si="1"/>
        <v>0.15625</v>
      </c>
      <c r="L95" s="18">
        <f t="shared" si="2"/>
        <v>6536.8421052631575</v>
      </c>
    </row>
    <row r="96" spans="1:12" ht="15.75" customHeight="1">
      <c r="A96" s="16">
        <v>45880</v>
      </c>
      <c r="B96" s="17" t="s">
        <v>14</v>
      </c>
      <c r="C96" s="17" t="s">
        <v>19</v>
      </c>
      <c r="D96" s="17">
        <v>1098</v>
      </c>
      <c r="E96" s="17">
        <v>326</v>
      </c>
      <c r="F96" s="17">
        <v>210</v>
      </c>
      <c r="G96" s="17">
        <v>164</v>
      </c>
      <c r="H96" s="18">
        <v>7866000</v>
      </c>
      <c r="I96" s="19">
        <f t="shared" si="7"/>
        <v>0.29690346083788705</v>
      </c>
      <c r="J96" s="19">
        <f t="shared" si="7"/>
        <v>0.64417177914110424</v>
      </c>
      <c r="K96" s="19">
        <f t="shared" si="1"/>
        <v>0.1493624772313297</v>
      </c>
      <c r="L96" s="18">
        <f t="shared" si="2"/>
        <v>47963.414634146342</v>
      </c>
    </row>
    <row r="97" spans="1:12" ht="15.75" customHeight="1">
      <c r="A97" s="16">
        <v>45880</v>
      </c>
      <c r="B97" s="17" t="s">
        <v>16</v>
      </c>
      <c r="C97" s="17" t="s">
        <v>24</v>
      </c>
      <c r="D97" s="17">
        <v>835</v>
      </c>
      <c r="E97" s="17">
        <v>159</v>
      </c>
      <c r="F97" s="17">
        <v>91</v>
      </c>
      <c r="G97" s="17">
        <v>61</v>
      </c>
      <c r="H97" s="18">
        <v>2362000</v>
      </c>
      <c r="I97" s="19">
        <f t="shared" si="7"/>
        <v>0.19041916167664671</v>
      </c>
      <c r="J97" s="19">
        <f t="shared" si="7"/>
        <v>0.57232704402515722</v>
      </c>
      <c r="K97" s="19">
        <f t="shared" si="1"/>
        <v>7.3053892215568864E-2</v>
      </c>
      <c r="L97" s="18">
        <f t="shared" si="2"/>
        <v>38721.311475409835</v>
      </c>
    </row>
    <row r="98" spans="1:12" ht="15.75" customHeight="1">
      <c r="A98" s="16">
        <v>45887</v>
      </c>
      <c r="B98" s="17" t="s">
        <v>12</v>
      </c>
      <c r="C98" s="17" t="s">
        <v>22</v>
      </c>
      <c r="D98" s="17">
        <v>916</v>
      </c>
      <c r="E98" s="17">
        <v>249</v>
      </c>
      <c r="F98" s="17">
        <v>167</v>
      </c>
      <c r="G98" s="17">
        <v>117</v>
      </c>
      <c r="H98" s="18">
        <v>3958000</v>
      </c>
      <c r="I98" s="19">
        <f t="shared" ref="I98:J113" si="8">IFERROR(E98/D98,0)</f>
        <v>0.27183406113537117</v>
      </c>
      <c r="J98" s="19">
        <f t="shared" si="8"/>
        <v>0.67068273092369479</v>
      </c>
      <c r="K98" s="19">
        <f t="shared" si="1"/>
        <v>0.12772925764192139</v>
      </c>
      <c r="L98" s="18">
        <f t="shared" si="2"/>
        <v>33829.059829059828</v>
      </c>
    </row>
    <row r="99" spans="1:12" ht="15.75" customHeight="1">
      <c r="A99" s="16">
        <v>45887</v>
      </c>
      <c r="B99" s="17" t="s">
        <v>14</v>
      </c>
      <c r="C99" s="17" t="s">
        <v>23</v>
      </c>
      <c r="D99" s="17">
        <v>1235</v>
      </c>
      <c r="E99" s="17">
        <v>375</v>
      </c>
      <c r="F99" s="17">
        <v>233</v>
      </c>
      <c r="G99" s="17">
        <v>172</v>
      </c>
      <c r="H99" s="18">
        <v>4425000</v>
      </c>
      <c r="I99" s="19">
        <f t="shared" si="8"/>
        <v>0.30364372469635625</v>
      </c>
      <c r="J99" s="19">
        <f t="shared" si="8"/>
        <v>0.62133333333333329</v>
      </c>
      <c r="K99" s="19">
        <f t="shared" si="1"/>
        <v>0.13927125506072874</v>
      </c>
      <c r="L99" s="18">
        <f t="shared" si="2"/>
        <v>25726.744186046511</v>
      </c>
    </row>
    <row r="100" spans="1:12" ht="15.75" customHeight="1">
      <c r="A100" s="16">
        <v>45887</v>
      </c>
      <c r="B100" s="17" t="s">
        <v>16</v>
      </c>
      <c r="C100" s="17" t="s">
        <v>20</v>
      </c>
      <c r="D100" s="17">
        <v>718</v>
      </c>
      <c r="E100" s="17">
        <v>132</v>
      </c>
      <c r="F100" s="17">
        <v>83</v>
      </c>
      <c r="G100" s="17">
        <v>54</v>
      </c>
      <c r="H100" s="18">
        <v>4494000</v>
      </c>
      <c r="I100" s="19">
        <f t="shared" si="8"/>
        <v>0.18384401114206128</v>
      </c>
      <c r="J100" s="19">
        <f t="shared" si="8"/>
        <v>0.62878787878787878</v>
      </c>
      <c r="K100" s="19">
        <f t="shared" si="1"/>
        <v>7.5208913649025072E-2</v>
      </c>
      <c r="L100" s="18">
        <f t="shared" si="2"/>
        <v>83222.222222222219</v>
      </c>
    </row>
    <row r="101" spans="1:12" ht="15.75" customHeight="1">
      <c r="A101" s="16">
        <v>45894</v>
      </c>
      <c r="B101" s="17" t="s">
        <v>12</v>
      </c>
      <c r="C101" s="17" t="s">
        <v>21</v>
      </c>
      <c r="D101" s="17">
        <v>741</v>
      </c>
      <c r="E101" s="17">
        <v>187</v>
      </c>
      <c r="F101" s="17">
        <v>125</v>
      </c>
      <c r="G101" s="17">
        <v>86</v>
      </c>
      <c r="H101" s="18">
        <v>0</v>
      </c>
      <c r="I101" s="19">
        <f t="shared" si="8"/>
        <v>0.25236167341430499</v>
      </c>
      <c r="J101" s="19">
        <f t="shared" si="8"/>
        <v>0.66844919786096257</v>
      </c>
      <c r="K101" s="19">
        <f t="shared" si="1"/>
        <v>0.11605937921727395</v>
      </c>
      <c r="L101" s="18">
        <f t="shared" si="2"/>
        <v>0</v>
      </c>
    </row>
    <row r="102" spans="1:12" ht="15.75" customHeight="1">
      <c r="A102" s="16">
        <v>45894</v>
      </c>
      <c r="B102" s="17" t="s">
        <v>14</v>
      </c>
      <c r="C102" s="17" t="s">
        <v>19</v>
      </c>
      <c r="D102" s="17">
        <v>1046</v>
      </c>
      <c r="E102" s="17">
        <v>288</v>
      </c>
      <c r="F102" s="17">
        <v>189</v>
      </c>
      <c r="G102" s="17">
        <v>144</v>
      </c>
      <c r="H102" s="18">
        <v>6702000</v>
      </c>
      <c r="I102" s="19">
        <f t="shared" si="8"/>
        <v>0.27533460803059273</v>
      </c>
      <c r="J102" s="19">
        <f t="shared" si="8"/>
        <v>0.65625</v>
      </c>
      <c r="K102" s="19">
        <f t="shared" si="1"/>
        <v>0.13766730401529637</v>
      </c>
      <c r="L102" s="18">
        <f t="shared" si="2"/>
        <v>46541.666666666664</v>
      </c>
    </row>
    <row r="103" spans="1:12" ht="15.75" customHeight="1">
      <c r="A103" s="16">
        <v>45894</v>
      </c>
      <c r="B103" s="17" t="s">
        <v>16</v>
      </c>
      <c r="C103" s="17" t="s">
        <v>17</v>
      </c>
      <c r="D103" s="17">
        <v>432</v>
      </c>
      <c r="E103" s="17">
        <v>79</v>
      </c>
      <c r="F103" s="17">
        <v>43</v>
      </c>
      <c r="G103" s="17">
        <v>29</v>
      </c>
      <c r="H103" s="18">
        <v>0</v>
      </c>
      <c r="I103" s="19">
        <f t="shared" si="8"/>
        <v>0.18287037037037038</v>
      </c>
      <c r="J103" s="19">
        <f t="shared" si="8"/>
        <v>0.54430379746835444</v>
      </c>
      <c r="K103" s="19">
        <f t="shared" si="1"/>
        <v>6.7129629629629636E-2</v>
      </c>
      <c r="L103" s="18">
        <f t="shared" si="2"/>
        <v>0</v>
      </c>
    </row>
    <row r="104" spans="1:12" ht="15.75" customHeight="1">
      <c r="A104" s="16">
        <v>45901</v>
      </c>
      <c r="B104" s="17" t="s">
        <v>12</v>
      </c>
      <c r="C104" s="17" t="s">
        <v>21</v>
      </c>
      <c r="D104" s="17">
        <v>798</v>
      </c>
      <c r="E104" s="17">
        <v>198</v>
      </c>
      <c r="F104" s="17">
        <v>137</v>
      </c>
      <c r="G104" s="17">
        <v>97</v>
      </c>
      <c r="H104" s="18">
        <v>0</v>
      </c>
      <c r="I104" s="19">
        <f t="shared" si="8"/>
        <v>0.24812030075187969</v>
      </c>
      <c r="J104" s="19">
        <f t="shared" si="8"/>
        <v>0.69191919191919193</v>
      </c>
      <c r="K104" s="19">
        <f t="shared" si="1"/>
        <v>0.12155388471177944</v>
      </c>
      <c r="L104" s="18">
        <f t="shared" si="2"/>
        <v>0</v>
      </c>
    </row>
    <row r="105" spans="1:12" ht="15.75" customHeight="1">
      <c r="A105" s="16">
        <v>45901</v>
      </c>
      <c r="B105" s="17" t="s">
        <v>14</v>
      </c>
      <c r="C105" s="17" t="s">
        <v>15</v>
      </c>
      <c r="D105" s="17">
        <v>1004</v>
      </c>
      <c r="E105" s="17">
        <v>248</v>
      </c>
      <c r="F105" s="17">
        <v>167</v>
      </c>
      <c r="G105" s="17">
        <v>135</v>
      </c>
      <c r="H105" s="18">
        <v>0</v>
      </c>
      <c r="I105" s="19">
        <f t="shared" si="8"/>
        <v>0.24701195219123506</v>
      </c>
      <c r="J105" s="19">
        <f t="shared" si="8"/>
        <v>0.67338709677419351</v>
      </c>
      <c r="K105" s="19">
        <f t="shared" si="1"/>
        <v>0.1344621513944223</v>
      </c>
      <c r="L105" s="18">
        <f t="shared" si="2"/>
        <v>0</v>
      </c>
    </row>
    <row r="106" spans="1:12" ht="15.75" customHeight="1">
      <c r="A106" s="16">
        <v>45901</v>
      </c>
      <c r="B106" s="17" t="s">
        <v>16</v>
      </c>
      <c r="C106" s="17" t="s">
        <v>20</v>
      </c>
      <c r="D106" s="17">
        <v>603</v>
      </c>
      <c r="E106" s="17">
        <v>128</v>
      </c>
      <c r="F106" s="17">
        <v>73</v>
      </c>
      <c r="G106" s="17">
        <v>48</v>
      </c>
      <c r="H106" s="18">
        <v>3214000</v>
      </c>
      <c r="I106" s="19">
        <f t="shared" si="8"/>
        <v>0.21227197346600332</v>
      </c>
      <c r="J106" s="19">
        <f t="shared" si="8"/>
        <v>0.5703125</v>
      </c>
      <c r="K106" s="19">
        <f t="shared" si="1"/>
        <v>7.9601990049751242E-2</v>
      </c>
      <c r="L106" s="18">
        <f t="shared" si="2"/>
        <v>66958.333333333328</v>
      </c>
    </row>
    <row r="107" spans="1:12" ht="15.75" customHeight="1">
      <c r="A107" s="16">
        <v>45908</v>
      </c>
      <c r="B107" s="17" t="s">
        <v>12</v>
      </c>
      <c r="C107" s="17" t="s">
        <v>13</v>
      </c>
      <c r="D107" s="17">
        <v>617</v>
      </c>
      <c r="E107" s="17">
        <v>181</v>
      </c>
      <c r="F107" s="17">
        <v>109</v>
      </c>
      <c r="G107" s="17">
        <v>91</v>
      </c>
      <c r="H107" s="18">
        <v>605000</v>
      </c>
      <c r="I107" s="19">
        <f t="shared" si="8"/>
        <v>0.29335494327390599</v>
      </c>
      <c r="J107" s="19">
        <f t="shared" si="8"/>
        <v>0.60220994475138123</v>
      </c>
      <c r="K107" s="19">
        <f t="shared" si="1"/>
        <v>0.14748784440842788</v>
      </c>
      <c r="L107" s="18">
        <f t="shared" si="2"/>
        <v>6648.3516483516487</v>
      </c>
    </row>
    <row r="108" spans="1:12" ht="15.75" customHeight="1">
      <c r="A108" s="16">
        <v>45908</v>
      </c>
      <c r="B108" s="17" t="s">
        <v>14</v>
      </c>
      <c r="C108" s="17" t="s">
        <v>15</v>
      </c>
      <c r="D108" s="17">
        <v>1012</v>
      </c>
      <c r="E108" s="17">
        <v>285</v>
      </c>
      <c r="F108" s="17">
        <v>178</v>
      </c>
      <c r="G108" s="17">
        <v>134</v>
      </c>
      <c r="H108" s="18">
        <v>0</v>
      </c>
      <c r="I108" s="19">
        <f t="shared" si="8"/>
        <v>0.28162055335968378</v>
      </c>
      <c r="J108" s="19">
        <f t="shared" si="8"/>
        <v>0.62456140350877198</v>
      </c>
      <c r="K108" s="19">
        <f t="shared" si="1"/>
        <v>0.1324110671936759</v>
      </c>
      <c r="L108" s="18">
        <f t="shared" si="2"/>
        <v>0</v>
      </c>
    </row>
    <row r="109" spans="1:12" ht="15.75" customHeight="1">
      <c r="A109" s="16">
        <v>45908</v>
      </c>
      <c r="B109" s="17" t="s">
        <v>16</v>
      </c>
      <c r="C109" s="17" t="s">
        <v>20</v>
      </c>
      <c r="D109" s="17">
        <v>658</v>
      </c>
      <c r="E109" s="17">
        <v>114</v>
      </c>
      <c r="F109" s="17">
        <v>64</v>
      </c>
      <c r="G109" s="17">
        <v>44</v>
      </c>
      <c r="H109" s="18">
        <v>4273000</v>
      </c>
      <c r="I109" s="19">
        <f t="shared" si="8"/>
        <v>0.17325227963525835</v>
      </c>
      <c r="J109" s="19">
        <f t="shared" si="8"/>
        <v>0.56140350877192979</v>
      </c>
      <c r="K109" s="19">
        <f t="shared" si="1"/>
        <v>6.6869300911854099E-2</v>
      </c>
      <c r="L109" s="18">
        <f t="shared" si="2"/>
        <v>97113.636363636368</v>
      </c>
    </row>
    <row r="110" spans="1:12" ht="15.75" customHeight="1">
      <c r="A110" s="16">
        <v>45915</v>
      </c>
      <c r="B110" s="17" t="s">
        <v>12</v>
      </c>
      <c r="C110" s="17" t="s">
        <v>21</v>
      </c>
      <c r="D110" s="17">
        <v>857</v>
      </c>
      <c r="E110" s="17">
        <v>190</v>
      </c>
      <c r="F110" s="17">
        <v>123</v>
      </c>
      <c r="G110" s="17">
        <v>86</v>
      </c>
      <c r="H110" s="18">
        <v>0</v>
      </c>
      <c r="I110" s="19">
        <f t="shared" si="8"/>
        <v>0.22170361726954493</v>
      </c>
      <c r="J110" s="19">
        <f t="shared" si="8"/>
        <v>0.64736842105263159</v>
      </c>
      <c r="K110" s="19">
        <f t="shared" si="1"/>
        <v>0.10035005834305717</v>
      </c>
      <c r="L110" s="18">
        <f t="shared" si="2"/>
        <v>0</v>
      </c>
    </row>
    <row r="111" spans="1:12" ht="15.75" customHeight="1">
      <c r="A111" s="16">
        <v>45915</v>
      </c>
      <c r="B111" s="17" t="s">
        <v>14</v>
      </c>
      <c r="C111" s="17" t="s">
        <v>19</v>
      </c>
      <c r="D111" s="17">
        <v>1105</v>
      </c>
      <c r="E111" s="17">
        <v>315</v>
      </c>
      <c r="F111" s="17">
        <v>206</v>
      </c>
      <c r="G111" s="17">
        <v>156</v>
      </c>
      <c r="H111" s="18">
        <v>5568000</v>
      </c>
      <c r="I111" s="19">
        <f t="shared" si="8"/>
        <v>0.28506787330316741</v>
      </c>
      <c r="J111" s="19">
        <f t="shared" si="8"/>
        <v>0.65396825396825398</v>
      </c>
      <c r="K111" s="19">
        <f t="shared" si="1"/>
        <v>0.14117647058823529</v>
      </c>
      <c r="L111" s="18">
        <f t="shared" si="2"/>
        <v>35692.307692307695</v>
      </c>
    </row>
    <row r="112" spans="1:12" ht="15.75" customHeight="1">
      <c r="A112" s="16">
        <v>45915</v>
      </c>
      <c r="B112" s="17" t="s">
        <v>16</v>
      </c>
      <c r="C112" s="17" t="s">
        <v>24</v>
      </c>
      <c r="D112" s="17">
        <v>891</v>
      </c>
      <c r="E112" s="17">
        <v>196</v>
      </c>
      <c r="F112" s="17">
        <v>114</v>
      </c>
      <c r="G112" s="17">
        <v>75</v>
      </c>
      <c r="H112" s="18">
        <v>3069000</v>
      </c>
      <c r="I112" s="19">
        <f t="shared" si="8"/>
        <v>0.21997755331088664</v>
      </c>
      <c r="J112" s="19">
        <f t="shared" si="8"/>
        <v>0.58163265306122447</v>
      </c>
      <c r="K112" s="19">
        <f t="shared" si="1"/>
        <v>8.4175084175084181E-2</v>
      </c>
      <c r="L112" s="18">
        <f t="shared" si="2"/>
        <v>40920</v>
      </c>
    </row>
    <row r="113" spans="1:12" ht="15.75" customHeight="1">
      <c r="A113" s="16">
        <v>45922</v>
      </c>
      <c r="B113" s="17" t="s">
        <v>12</v>
      </c>
      <c r="C113" s="17" t="s">
        <v>13</v>
      </c>
      <c r="D113" s="17">
        <v>640</v>
      </c>
      <c r="E113" s="17">
        <v>179</v>
      </c>
      <c r="F113" s="17">
        <v>117</v>
      </c>
      <c r="G113" s="17">
        <v>90</v>
      </c>
      <c r="H113" s="18">
        <v>736000</v>
      </c>
      <c r="I113" s="19">
        <f t="shared" si="8"/>
        <v>0.27968749999999998</v>
      </c>
      <c r="J113" s="19">
        <f t="shared" si="8"/>
        <v>0.65363128491620115</v>
      </c>
      <c r="K113" s="19">
        <f t="shared" si="1"/>
        <v>0.140625</v>
      </c>
      <c r="L113" s="18">
        <f t="shared" si="2"/>
        <v>8177.7777777777774</v>
      </c>
    </row>
    <row r="114" spans="1:12" ht="15.75" customHeight="1">
      <c r="A114" s="16">
        <v>45922</v>
      </c>
      <c r="B114" s="17" t="s">
        <v>14</v>
      </c>
      <c r="C114" s="17" t="s">
        <v>15</v>
      </c>
      <c r="D114" s="17">
        <v>923</v>
      </c>
      <c r="E114" s="17">
        <v>282</v>
      </c>
      <c r="F114" s="17">
        <v>183</v>
      </c>
      <c r="G114" s="17">
        <v>137</v>
      </c>
      <c r="H114" s="18">
        <v>0</v>
      </c>
      <c r="I114" s="19">
        <f t="shared" ref="I114:J129" si="9">IFERROR(E114/D114,0)</f>
        <v>0.30552546045503792</v>
      </c>
      <c r="J114" s="19">
        <f t="shared" si="9"/>
        <v>0.64893617021276595</v>
      </c>
      <c r="K114" s="19">
        <f t="shared" si="1"/>
        <v>0.14842903575297942</v>
      </c>
      <c r="L114" s="18">
        <f t="shared" si="2"/>
        <v>0</v>
      </c>
    </row>
    <row r="115" spans="1:12" ht="15.75" customHeight="1">
      <c r="A115" s="16">
        <v>45922</v>
      </c>
      <c r="B115" s="17" t="s">
        <v>16</v>
      </c>
      <c r="C115" s="17" t="s">
        <v>24</v>
      </c>
      <c r="D115" s="17">
        <v>583</v>
      </c>
      <c r="E115" s="17">
        <v>129</v>
      </c>
      <c r="F115" s="17">
        <v>70</v>
      </c>
      <c r="G115" s="17">
        <v>47</v>
      </c>
      <c r="H115" s="18">
        <v>1608000</v>
      </c>
      <c r="I115" s="19">
        <f t="shared" si="9"/>
        <v>0.22126929674099485</v>
      </c>
      <c r="J115" s="19">
        <f t="shared" si="9"/>
        <v>0.54263565891472865</v>
      </c>
      <c r="K115" s="19">
        <f t="shared" si="1"/>
        <v>8.0617495711835338E-2</v>
      </c>
      <c r="L115" s="18">
        <f t="shared" si="2"/>
        <v>34212.765957446805</v>
      </c>
    </row>
    <row r="116" spans="1:12" ht="15.75" customHeight="1">
      <c r="A116" s="16">
        <v>45929</v>
      </c>
      <c r="B116" s="17" t="s">
        <v>12</v>
      </c>
      <c r="C116" s="17" t="s">
        <v>22</v>
      </c>
      <c r="D116" s="17">
        <v>1142</v>
      </c>
      <c r="E116" s="17">
        <v>295</v>
      </c>
      <c r="F116" s="17">
        <v>195</v>
      </c>
      <c r="G116" s="17">
        <v>141</v>
      </c>
      <c r="H116" s="18">
        <v>3099000</v>
      </c>
      <c r="I116" s="19">
        <f t="shared" si="9"/>
        <v>0.2583187390542907</v>
      </c>
      <c r="J116" s="19">
        <f t="shared" si="9"/>
        <v>0.66101694915254239</v>
      </c>
      <c r="K116" s="19">
        <f t="shared" si="1"/>
        <v>0.1234676007005254</v>
      </c>
      <c r="L116" s="18">
        <f t="shared" si="2"/>
        <v>21978.723404255321</v>
      </c>
    </row>
    <row r="117" spans="1:12" ht="15.75" customHeight="1">
      <c r="A117" s="16">
        <v>45929</v>
      </c>
      <c r="B117" s="17" t="s">
        <v>14</v>
      </c>
      <c r="C117" s="17" t="s">
        <v>23</v>
      </c>
      <c r="D117" s="17">
        <v>1369</v>
      </c>
      <c r="E117" s="17">
        <v>467</v>
      </c>
      <c r="F117" s="17">
        <v>302</v>
      </c>
      <c r="G117" s="17">
        <v>225</v>
      </c>
      <c r="H117" s="18">
        <v>3776000</v>
      </c>
      <c r="I117" s="19">
        <f t="shared" si="9"/>
        <v>0.34112490869247625</v>
      </c>
      <c r="J117" s="19">
        <f t="shared" si="9"/>
        <v>0.64668094218415417</v>
      </c>
      <c r="K117" s="19">
        <f t="shared" si="1"/>
        <v>0.1643535427319211</v>
      </c>
      <c r="L117" s="18">
        <f t="shared" si="2"/>
        <v>16782.222222222223</v>
      </c>
    </row>
    <row r="118" spans="1:12" ht="15.75" customHeight="1">
      <c r="A118" s="16">
        <v>45929</v>
      </c>
      <c r="B118" s="17" t="s">
        <v>16</v>
      </c>
      <c r="C118" s="17" t="s">
        <v>20</v>
      </c>
      <c r="D118" s="17">
        <v>602</v>
      </c>
      <c r="E118" s="17">
        <v>116</v>
      </c>
      <c r="F118" s="17">
        <v>67</v>
      </c>
      <c r="G118" s="17">
        <v>44</v>
      </c>
      <c r="H118" s="18">
        <v>4175000</v>
      </c>
      <c r="I118" s="19">
        <f t="shared" si="9"/>
        <v>0.19269102990033224</v>
      </c>
      <c r="J118" s="19">
        <f t="shared" si="9"/>
        <v>0.57758620689655171</v>
      </c>
      <c r="K118" s="19">
        <f t="shared" si="1"/>
        <v>7.3089700996677748E-2</v>
      </c>
      <c r="L118" s="18">
        <f t="shared" si="2"/>
        <v>94886.363636363632</v>
      </c>
    </row>
    <row r="119" spans="1:12" ht="15.75" customHeight="1">
      <c r="A119" s="16">
        <v>45936</v>
      </c>
      <c r="B119" s="17" t="s">
        <v>12</v>
      </c>
      <c r="C119" s="17" t="s">
        <v>18</v>
      </c>
      <c r="D119" s="17">
        <v>976</v>
      </c>
      <c r="E119" s="17">
        <v>196</v>
      </c>
      <c r="F119" s="17">
        <v>136</v>
      </c>
      <c r="G119" s="17">
        <v>98</v>
      </c>
      <c r="H119" s="18">
        <v>6972000</v>
      </c>
      <c r="I119" s="19">
        <f t="shared" si="9"/>
        <v>0.20081967213114754</v>
      </c>
      <c r="J119" s="19">
        <f t="shared" si="9"/>
        <v>0.69387755102040816</v>
      </c>
      <c r="K119" s="19">
        <f t="shared" si="1"/>
        <v>0.10040983606557377</v>
      </c>
      <c r="L119" s="18">
        <f t="shared" si="2"/>
        <v>71142.857142857145</v>
      </c>
    </row>
    <row r="120" spans="1:12" ht="15.75" customHeight="1">
      <c r="A120" s="16">
        <v>45936</v>
      </c>
      <c r="B120" s="17" t="s">
        <v>14</v>
      </c>
      <c r="C120" s="17" t="s">
        <v>19</v>
      </c>
      <c r="D120" s="17">
        <v>1156</v>
      </c>
      <c r="E120" s="17">
        <v>368</v>
      </c>
      <c r="F120" s="17">
        <v>255</v>
      </c>
      <c r="G120" s="17">
        <v>200</v>
      </c>
      <c r="H120" s="18">
        <v>6541000</v>
      </c>
      <c r="I120" s="19">
        <f t="shared" si="9"/>
        <v>0.31833910034602075</v>
      </c>
      <c r="J120" s="19">
        <f t="shared" si="9"/>
        <v>0.69293478260869568</v>
      </c>
      <c r="K120" s="19">
        <f t="shared" si="1"/>
        <v>0.17301038062283736</v>
      </c>
      <c r="L120" s="18">
        <f t="shared" si="2"/>
        <v>32705</v>
      </c>
    </row>
    <row r="121" spans="1:12" ht="15.75" customHeight="1">
      <c r="A121" s="16">
        <v>45936</v>
      </c>
      <c r="B121" s="17" t="s">
        <v>16</v>
      </c>
      <c r="C121" s="17" t="s">
        <v>20</v>
      </c>
      <c r="D121" s="17">
        <v>674</v>
      </c>
      <c r="E121" s="17">
        <v>149</v>
      </c>
      <c r="F121" s="17">
        <v>88</v>
      </c>
      <c r="G121" s="17">
        <v>59</v>
      </c>
      <c r="H121" s="18">
        <v>3772000</v>
      </c>
      <c r="I121" s="19">
        <f t="shared" si="9"/>
        <v>0.22106824925816024</v>
      </c>
      <c r="J121" s="19">
        <f t="shared" si="9"/>
        <v>0.59060402684563762</v>
      </c>
      <c r="K121" s="19">
        <f t="shared" si="1"/>
        <v>8.7537091988130561E-2</v>
      </c>
      <c r="L121" s="18">
        <f t="shared" si="2"/>
        <v>63932.203389830509</v>
      </c>
    </row>
    <row r="122" spans="1:12" ht="15.75" customHeight="1">
      <c r="A122" s="16">
        <v>45943</v>
      </c>
      <c r="B122" s="17" t="s">
        <v>12</v>
      </c>
      <c r="C122" s="17" t="s">
        <v>13</v>
      </c>
      <c r="D122" s="17">
        <v>504</v>
      </c>
      <c r="E122" s="17">
        <v>131</v>
      </c>
      <c r="F122" s="17">
        <v>75</v>
      </c>
      <c r="G122" s="17">
        <v>59</v>
      </c>
      <c r="H122" s="18">
        <v>545000</v>
      </c>
      <c r="I122" s="19">
        <f t="shared" si="9"/>
        <v>0.25992063492063494</v>
      </c>
      <c r="J122" s="19">
        <f t="shared" si="9"/>
        <v>0.5725190839694656</v>
      </c>
      <c r="K122" s="19">
        <f t="shared" si="1"/>
        <v>0.11706349206349206</v>
      </c>
      <c r="L122" s="18">
        <f t="shared" si="2"/>
        <v>9237.2881355932204</v>
      </c>
    </row>
    <row r="123" spans="1:12" ht="15.75" customHeight="1">
      <c r="A123" s="16">
        <v>45943</v>
      </c>
      <c r="B123" s="17" t="s">
        <v>14</v>
      </c>
      <c r="C123" s="17" t="s">
        <v>15</v>
      </c>
      <c r="D123" s="17">
        <v>1000</v>
      </c>
      <c r="E123" s="17">
        <v>323</v>
      </c>
      <c r="F123" s="17">
        <v>223</v>
      </c>
      <c r="G123" s="17">
        <v>173</v>
      </c>
      <c r="H123" s="18">
        <v>0</v>
      </c>
      <c r="I123" s="19">
        <f t="shared" si="9"/>
        <v>0.32300000000000001</v>
      </c>
      <c r="J123" s="19">
        <f t="shared" si="9"/>
        <v>0.69040247678018574</v>
      </c>
      <c r="K123" s="19">
        <f t="shared" si="1"/>
        <v>0.17299999999999999</v>
      </c>
      <c r="L123" s="18">
        <f t="shared" si="2"/>
        <v>0</v>
      </c>
    </row>
    <row r="124" spans="1:12" ht="15.75" customHeight="1">
      <c r="A124" s="16">
        <v>45943</v>
      </c>
      <c r="B124" s="17" t="s">
        <v>16</v>
      </c>
      <c r="C124" s="17" t="s">
        <v>24</v>
      </c>
      <c r="D124" s="17">
        <v>725</v>
      </c>
      <c r="E124" s="17">
        <v>184</v>
      </c>
      <c r="F124" s="17">
        <v>108</v>
      </c>
      <c r="G124" s="17">
        <v>75</v>
      </c>
      <c r="H124" s="18">
        <v>2908000</v>
      </c>
      <c r="I124" s="19">
        <f t="shared" si="9"/>
        <v>0.25379310344827588</v>
      </c>
      <c r="J124" s="19">
        <f t="shared" si="9"/>
        <v>0.58695652173913049</v>
      </c>
      <c r="K124" s="19">
        <f t="shared" si="1"/>
        <v>0.10344827586206896</v>
      </c>
      <c r="L124" s="18">
        <f t="shared" si="2"/>
        <v>38773.333333333336</v>
      </c>
    </row>
    <row r="125" spans="1:12" ht="15.75" customHeight="1">
      <c r="A125" s="16">
        <v>45950</v>
      </c>
      <c r="B125" s="17" t="s">
        <v>12</v>
      </c>
      <c r="C125" s="17" t="s">
        <v>18</v>
      </c>
      <c r="D125" s="17">
        <v>813</v>
      </c>
      <c r="E125" s="17">
        <v>177</v>
      </c>
      <c r="F125" s="17">
        <v>116</v>
      </c>
      <c r="G125" s="17">
        <v>79</v>
      </c>
      <c r="H125" s="18">
        <v>5330000</v>
      </c>
      <c r="I125" s="19">
        <f t="shared" si="9"/>
        <v>0.21771217712177121</v>
      </c>
      <c r="J125" s="19">
        <f t="shared" si="9"/>
        <v>0.65536723163841804</v>
      </c>
      <c r="K125" s="19">
        <f t="shared" si="1"/>
        <v>9.7170971709717099E-2</v>
      </c>
      <c r="L125" s="18">
        <f t="shared" si="2"/>
        <v>67468.354430379753</v>
      </c>
    </row>
    <row r="126" spans="1:12" ht="15.75" customHeight="1">
      <c r="A126" s="16">
        <v>45950</v>
      </c>
      <c r="B126" s="17" t="s">
        <v>14</v>
      </c>
      <c r="C126" s="17" t="s">
        <v>19</v>
      </c>
      <c r="D126" s="17">
        <v>1139</v>
      </c>
      <c r="E126" s="17">
        <v>324</v>
      </c>
      <c r="F126" s="17">
        <v>207</v>
      </c>
      <c r="G126" s="17">
        <v>159</v>
      </c>
      <c r="H126" s="18">
        <v>7453000</v>
      </c>
      <c r="I126" s="19">
        <f t="shared" si="9"/>
        <v>0.28446005267778751</v>
      </c>
      <c r="J126" s="19">
        <f t="shared" si="9"/>
        <v>0.63888888888888884</v>
      </c>
      <c r="K126" s="19">
        <f t="shared" si="1"/>
        <v>0.1395961369622476</v>
      </c>
      <c r="L126" s="18">
        <f t="shared" si="2"/>
        <v>46874.213836477989</v>
      </c>
    </row>
    <row r="127" spans="1:12" ht="15.75" customHeight="1">
      <c r="A127" s="16">
        <v>45950</v>
      </c>
      <c r="B127" s="17" t="s">
        <v>16</v>
      </c>
      <c r="C127" s="17" t="s">
        <v>20</v>
      </c>
      <c r="D127" s="17">
        <v>713</v>
      </c>
      <c r="E127" s="17">
        <v>139</v>
      </c>
      <c r="F127" s="17">
        <v>81</v>
      </c>
      <c r="G127" s="17">
        <v>55</v>
      </c>
      <c r="H127" s="18">
        <v>5006000</v>
      </c>
      <c r="I127" s="19">
        <f t="shared" si="9"/>
        <v>0.19495091164095371</v>
      </c>
      <c r="J127" s="19">
        <f t="shared" si="9"/>
        <v>0.58273381294964033</v>
      </c>
      <c r="K127" s="19">
        <f t="shared" si="1"/>
        <v>7.7138849929873771E-2</v>
      </c>
      <c r="L127" s="18">
        <f t="shared" si="2"/>
        <v>91018.181818181823</v>
      </c>
    </row>
    <row r="128" spans="1:12" ht="15.75" customHeight="1">
      <c r="A128" s="16">
        <v>45957</v>
      </c>
      <c r="B128" s="17" t="s">
        <v>12</v>
      </c>
      <c r="C128" s="17" t="s">
        <v>22</v>
      </c>
      <c r="D128" s="17">
        <v>1108</v>
      </c>
      <c r="E128" s="17">
        <v>293</v>
      </c>
      <c r="F128" s="17">
        <v>212</v>
      </c>
      <c r="G128" s="17">
        <v>152</v>
      </c>
      <c r="H128" s="18">
        <v>3270000</v>
      </c>
      <c r="I128" s="19">
        <f t="shared" si="9"/>
        <v>0.26444043321299637</v>
      </c>
      <c r="J128" s="19">
        <f t="shared" si="9"/>
        <v>0.7235494880546075</v>
      </c>
      <c r="K128" s="19">
        <f t="shared" si="1"/>
        <v>0.13718411552346571</v>
      </c>
      <c r="L128" s="18">
        <f t="shared" si="2"/>
        <v>21513.157894736843</v>
      </c>
    </row>
    <row r="129" spans="1:12" ht="15.75" customHeight="1">
      <c r="A129" s="16">
        <v>45957</v>
      </c>
      <c r="B129" s="17" t="s">
        <v>14</v>
      </c>
      <c r="C129" s="17" t="s">
        <v>19</v>
      </c>
      <c r="D129" s="17">
        <v>1246</v>
      </c>
      <c r="E129" s="17">
        <v>348</v>
      </c>
      <c r="F129" s="17">
        <v>238</v>
      </c>
      <c r="G129" s="17">
        <v>181</v>
      </c>
      <c r="H129" s="18">
        <v>6731000</v>
      </c>
      <c r="I129" s="19">
        <f t="shared" si="9"/>
        <v>0.27929373996789725</v>
      </c>
      <c r="J129" s="19">
        <f t="shared" si="9"/>
        <v>0.68390804597701149</v>
      </c>
      <c r="K129" s="19">
        <f t="shared" si="1"/>
        <v>0.14526484751203853</v>
      </c>
      <c r="L129" s="18">
        <f t="shared" si="2"/>
        <v>37187.845303867405</v>
      </c>
    </row>
    <row r="130" spans="1:12" ht="15.75" customHeight="1">
      <c r="A130" s="16">
        <v>45957</v>
      </c>
      <c r="B130" s="17" t="s">
        <v>16</v>
      </c>
      <c r="C130" s="17" t="s">
        <v>17</v>
      </c>
      <c r="D130" s="17">
        <v>410</v>
      </c>
      <c r="E130" s="17">
        <v>70</v>
      </c>
      <c r="F130" s="17">
        <v>37</v>
      </c>
      <c r="G130" s="17">
        <v>24</v>
      </c>
      <c r="H130" s="18">
        <v>0</v>
      </c>
      <c r="I130" s="19">
        <f t="shared" ref="I130:J145" si="10">IFERROR(E130/D130,0)</f>
        <v>0.17073170731707318</v>
      </c>
      <c r="J130" s="19">
        <f t="shared" si="10"/>
        <v>0.52857142857142858</v>
      </c>
      <c r="K130" s="19">
        <f t="shared" si="1"/>
        <v>5.8536585365853662E-2</v>
      </c>
      <c r="L130" s="18">
        <f t="shared" si="2"/>
        <v>0</v>
      </c>
    </row>
    <row r="131" spans="1:12" ht="15.75" customHeight="1">
      <c r="A131" s="16">
        <v>45964</v>
      </c>
      <c r="B131" s="17" t="s">
        <v>12</v>
      </c>
      <c r="C131" s="17" t="s">
        <v>18</v>
      </c>
      <c r="D131" s="17">
        <v>1184</v>
      </c>
      <c r="E131" s="17">
        <v>279</v>
      </c>
      <c r="F131" s="17">
        <v>184</v>
      </c>
      <c r="G131" s="17">
        <v>133</v>
      </c>
      <c r="H131" s="18">
        <v>7383000</v>
      </c>
      <c r="I131" s="19">
        <f t="shared" si="10"/>
        <v>0.23564189189189189</v>
      </c>
      <c r="J131" s="19">
        <f t="shared" si="10"/>
        <v>0.65949820788530467</v>
      </c>
      <c r="K131" s="19">
        <f t="shared" si="1"/>
        <v>0.11233108108108109</v>
      </c>
      <c r="L131" s="18">
        <f t="shared" si="2"/>
        <v>55511.278195488725</v>
      </c>
    </row>
    <row r="132" spans="1:12" ht="15.75" customHeight="1">
      <c r="A132" s="16">
        <v>45964</v>
      </c>
      <c r="B132" s="17" t="s">
        <v>14</v>
      </c>
      <c r="C132" s="17" t="s">
        <v>19</v>
      </c>
      <c r="D132" s="17">
        <v>1310</v>
      </c>
      <c r="E132" s="17">
        <v>438</v>
      </c>
      <c r="F132" s="17">
        <v>292</v>
      </c>
      <c r="G132" s="17">
        <v>226</v>
      </c>
      <c r="H132" s="18">
        <v>6760000</v>
      </c>
      <c r="I132" s="19">
        <f t="shared" si="10"/>
        <v>0.33435114503816793</v>
      </c>
      <c r="J132" s="19">
        <f t="shared" si="10"/>
        <v>0.66666666666666663</v>
      </c>
      <c r="K132" s="19">
        <f t="shared" si="1"/>
        <v>0.17251908396946564</v>
      </c>
      <c r="L132" s="18">
        <f t="shared" si="2"/>
        <v>29911.504424778763</v>
      </c>
    </row>
    <row r="133" spans="1:12" ht="15.75" customHeight="1">
      <c r="A133" s="16">
        <v>45964</v>
      </c>
      <c r="B133" s="17" t="s">
        <v>16</v>
      </c>
      <c r="C133" s="17" t="s">
        <v>24</v>
      </c>
      <c r="D133" s="17">
        <v>1105</v>
      </c>
      <c r="E133" s="17">
        <v>280</v>
      </c>
      <c r="F133" s="17">
        <v>156</v>
      </c>
      <c r="G133" s="17">
        <v>102</v>
      </c>
      <c r="H133" s="18">
        <v>4674000</v>
      </c>
      <c r="I133" s="19">
        <f t="shared" si="10"/>
        <v>0.25339366515837103</v>
      </c>
      <c r="J133" s="19">
        <f t="shared" si="10"/>
        <v>0.55714285714285716</v>
      </c>
      <c r="K133" s="19">
        <f t="shared" si="1"/>
        <v>9.2307692307692313E-2</v>
      </c>
      <c r="L133" s="18">
        <f t="shared" si="2"/>
        <v>45823.529411764706</v>
      </c>
    </row>
    <row r="134" spans="1:12" ht="15.75" customHeight="1">
      <c r="A134" s="16">
        <v>45971</v>
      </c>
      <c r="B134" s="17" t="s">
        <v>12</v>
      </c>
      <c r="C134" s="17" t="s">
        <v>21</v>
      </c>
      <c r="D134" s="17">
        <v>1003</v>
      </c>
      <c r="E134" s="17">
        <v>263</v>
      </c>
      <c r="F134" s="17">
        <v>169</v>
      </c>
      <c r="G134" s="17">
        <v>116</v>
      </c>
      <c r="H134" s="18">
        <v>0</v>
      </c>
      <c r="I134" s="19">
        <f t="shared" si="10"/>
        <v>0.26221335992023931</v>
      </c>
      <c r="J134" s="19">
        <f t="shared" si="10"/>
        <v>0.64258555133079853</v>
      </c>
      <c r="K134" s="19">
        <f t="shared" si="1"/>
        <v>0.1156530408773679</v>
      </c>
      <c r="L134" s="18">
        <f t="shared" si="2"/>
        <v>0</v>
      </c>
    </row>
    <row r="135" spans="1:12" ht="15.75" customHeight="1">
      <c r="A135" s="16">
        <v>45971</v>
      </c>
      <c r="B135" s="17" t="s">
        <v>14</v>
      </c>
      <c r="C135" s="17" t="s">
        <v>19</v>
      </c>
      <c r="D135" s="17">
        <v>1312</v>
      </c>
      <c r="E135" s="17">
        <v>348</v>
      </c>
      <c r="F135" s="17">
        <v>229</v>
      </c>
      <c r="G135" s="17">
        <v>176</v>
      </c>
      <c r="H135" s="18">
        <v>8628000</v>
      </c>
      <c r="I135" s="19">
        <f t="shared" si="10"/>
        <v>0.2652439024390244</v>
      </c>
      <c r="J135" s="19">
        <f t="shared" si="10"/>
        <v>0.65804597701149425</v>
      </c>
      <c r="K135" s="19">
        <f t="shared" si="1"/>
        <v>0.13414634146341464</v>
      </c>
      <c r="L135" s="18">
        <f t="shared" si="2"/>
        <v>49022.727272727272</v>
      </c>
    </row>
    <row r="136" spans="1:12" ht="15.75" customHeight="1">
      <c r="A136" s="16">
        <v>45971</v>
      </c>
      <c r="B136" s="17" t="s">
        <v>16</v>
      </c>
      <c r="C136" s="17" t="s">
        <v>20</v>
      </c>
      <c r="D136" s="17">
        <v>796</v>
      </c>
      <c r="E136" s="17">
        <v>183</v>
      </c>
      <c r="F136" s="17">
        <v>110</v>
      </c>
      <c r="G136" s="17">
        <v>72</v>
      </c>
      <c r="H136" s="18">
        <v>5324000</v>
      </c>
      <c r="I136" s="19">
        <f t="shared" si="10"/>
        <v>0.22989949748743718</v>
      </c>
      <c r="J136" s="19">
        <f t="shared" si="10"/>
        <v>0.60109289617486339</v>
      </c>
      <c r="K136" s="19">
        <f t="shared" si="1"/>
        <v>9.0452261306532666E-2</v>
      </c>
      <c r="L136" s="18">
        <f t="shared" si="2"/>
        <v>73944.444444444438</v>
      </c>
    </row>
    <row r="137" spans="1:12" ht="15.75" customHeight="1">
      <c r="A137" s="16">
        <v>45978</v>
      </c>
      <c r="B137" s="17" t="s">
        <v>12</v>
      </c>
      <c r="C137" s="17" t="s">
        <v>18</v>
      </c>
      <c r="D137" s="17">
        <v>1104</v>
      </c>
      <c r="E137" s="17">
        <v>246</v>
      </c>
      <c r="F137" s="17">
        <v>168</v>
      </c>
      <c r="G137" s="17">
        <v>118</v>
      </c>
      <c r="H137" s="18">
        <v>7533000</v>
      </c>
      <c r="I137" s="19">
        <f t="shared" si="10"/>
        <v>0.22282608695652173</v>
      </c>
      <c r="J137" s="19">
        <f t="shared" si="10"/>
        <v>0.68292682926829273</v>
      </c>
      <c r="K137" s="19">
        <f t="shared" si="1"/>
        <v>0.1068840579710145</v>
      </c>
      <c r="L137" s="18">
        <f t="shared" si="2"/>
        <v>63838.983050847455</v>
      </c>
    </row>
    <row r="138" spans="1:12" ht="15.75" customHeight="1">
      <c r="A138" s="16">
        <v>45978</v>
      </c>
      <c r="B138" s="17" t="s">
        <v>14</v>
      </c>
      <c r="C138" s="17" t="s">
        <v>23</v>
      </c>
      <c r="D138" s="17">
        <v>1543</v>
      </c>
      <c r="E138" s="17">
        <v>471</v>
      </c>
      <c r="F138" s="17">
        <v>325</v>
      </c>
      <c r="G138" s="17">
        <v>257</v>
      </c>
      <c r="H138" s="18">
        <v>4071000</v>
      </c>
      <c r="I138" s="19">
        <f t="shared" si="10"/>
        <v>0.30524951393389499</v>
      </c>
      <c r="J138" s="19">
        <f t="shared" si="10"/>
        <v>0.69002123142250527</v>
      </c>
      <c r="K138" s="19">
        <f t="shared" si="1"/>
        <v>0.16655865197666883</v>
      </c>
      <c r="L138" s="18">
        <f t="shared" si="2"/>
        <v>15840.466926070039</v>
      </c>
    </row>
    <row r="139" spans="1:12" ht="15.75" customHeight="1">
      <c r="A139" s="16">
        <v>45978</v>
      </c>
      <c r="B139" s="17" t="s">
        <v>16</v>
      </c>
      <c r="C139" s="17" t="s">
        <v>20</v>
      </c>
      <c r="D139" s="17">
        <v>797</v>
      </c>
      <c r="E139" s="17">
        <v>160</v>
      </c>
      <c r="F139" s="17">
        <v>95</v>
      </c>
      <c r="G139" s="17">
        <v>61</v>
      </c>
      <c r="H139" s="18">
        <v>3867000</v>
      </c>
      <c r="I139" s="19">
        <f t="shared" si="10"/>
        <v>0.20075282308657466</v>
      </c>
      <c r="J139" s="19">
        <f t="shared" si="10"/>
        <v>0.59375</v>
      </c>
      <c r="K139" s="19">
        <f t="shared" si="1"/>
        <v>7.6537013801756593E-2</v>
      </c>
      <c r="L139" s="18">
        <f t="shared" si="2"/>
        <v>63393.442622950817</v>
      </c>
    </row>
    <row r="140" spans="1:12" ht="15.75" customHeight="1">
      <c r="A140" s="16">
        <v>45985</v>
      </c>
      <c r="B140" s="17" t="s">
        <v>12</v>
      </c>
      <c r="C140" s="17" t="s">
        <v>13</v>
      </c>
      <c r="D140" s="17">
        <v>618</v>
      </c>
      <c r="E140" s="17">
        <v>157</v>
      </c>
      <c r="F140" s="17">
        <v>97</v>
      </c>
      <c r="G140" s="17">
        <v>75</v>
      </c>
      <c r="H140" s="18">
        <v>691000</v>
      </c>
      <c r="I140" s="19">
        <f t="shared" si="10"/>
        <v>0.25404530744336568</v>
      </c>
      <c r="J140" s="19">
        <f t="shared" si="10"/>
        <v>0.61783439490445857</v>
      </c>
      <c r="K140" s="19">
        <f t="shared" si="1"/>
        <v>0.12135922330097088</v>
      </c>
      <c r="L140" s="18">
        <f t="shared" si="2"/>
        <v>9213.3333333333339</v>
      </c>
    </row>
    <row r="141" spans="1:12" ht="15.75" customHeight="1">
      <c r="A141" s="16">
        <v>45985</v>
      </c>
      <c r="B141" s="17" t="s">
        <v>14</v>
      </c>
      <c r="C141" s="17" t="s">
        <v>19</v>
      </c>
      <c r="D141" s="17">
        <v>1501</v>
      </c>
      <c r="E141" s="17">
        <v>443</v>
      </c>
      <c r="F141" s="17">
        <v>307</v>
      </c>
      <c r="G141" s="17">
        <v>237</v>
      </c>
      <c r="H141" s="18">
        <v>8800000</v>
      </c>
      <c r="I141" s="19">
        <f t="shared" si="10"/>
        <v>0.29513657561625584</v>
      </c>
      <c r="J141" s="19">
        <f t="shared" si="10"/>
        <v>0.69300225733634313</v>
      </c>
      <c r="K141" s="19">
        <f t="shared" si="1"/>
        <v>0.15789473684210525</v>
      </c>
      <c r="L141" s="18">
        <f t="shared" si="2"/>
        <v>37130.801687763713</v>
      </c>
    </row>
    <row r="142" spans="1:12" ht="15.75" customHeight="1">
      <c r="A142" s="16">
        <v>45985</v>
      </c>
      <c r="B142" s="17" t="s">
        <v>16</v>
      </c>
      <c r="C142" s="17" t="s">
        <v>20</v>
      </c>
      <c r="D142" s="17">
        <v>765</v>
      </c>
      <c r="E142" s="17">
        <v>149</v>
      </c>
      <c r="F142" s="17">
        <v>81</v>
      </c>
      <c r="G142" s="17">
        <v>53</v>
      </c>
      <c r="H142" s="18">
        <v>3846000</v>
      </c>
      <c r="I142" s="19">
        <f t="shared" si="10"/>
        <v>0.19477124183006536</v>
      </c>
      <c r="J142" s="19">
        <f t="shared" si="10"/>
        <v>0.5436241610738255</v>
      </c>
      <c r="K142" s="19">
        <f t="shared" si="1"/>
        <v>6.9281045751633991E-2</v>
      </c>
      <c r="L142" s="18">
        <f t="shared" si="2"/>
        <v>72566.037735849051</v>
      </c>
    </row>
    <row r="143" spans="1:12" ht="15.75" customHeight="1">
      <c r="A143" s="16">
        <v>45992</v>
      </c>
      <c r="B143" s="17" t="s">
        <v>12</v>
      </c>
      <c r="C143" s="17" t="s">
        <v>21</v>
      </c>
      <c r="D143" s="17">
        <v>905</v>
      </c>
      <c r="E143" s="17">
        <v>231</v>
      </c>
      <c r="F143" s="17">
        <v>153</v>
      </c>
      <c r="G143" s="17">
        <v>101</v>
      </c>
      <c r="H143" s="18">
        <v>0</v>
      </c>
      <c r="I143" s="19">
        <f t="shared" si="10"/>
        <v>0.25524861878453037</v>
      </c>
      <c r="J143" s="19">
        <f t="shared" si="10"/>
        <v>0.66233766233766234</v>
      </c>
      <c r="K143" s="19">
        <f t="shared" si="1"/>
        <v>0.11160220994475138</v>
      </c>
      <c r="L143" s="18">
        <f t="shared" si="2"/>
        <v>0</v>
      </c>
    </row>
    <row r="144" spans="1:12" ht="15.75" customHeight="1">
      <c r="A144" s="16">
        <v>45992</v>
      </c>
      <c r="B144" s="17" t="s">
        <v>14</v>
      </c>
      <c r="C144" s="17" t="s">
        <v>19</v>
      </c>
      <c r="D144" s="17">
        <v>1435</v>
      </c>
      <c r="E144" s="17">
        <v>381</v>
      </c>
      <c r="F144" s="17">
        <v>260</v>
      </c>
      <c r="G144" s="17">
        <v>205</v>
      </c>
      <c r="H144" s="18">
        <v>8137000</v>
      </c>
      <c r="I144" s="19">
        <f t="shared" si="10"/>
        <v>0.26550522648083624</v>
      </c>
      <c r="J144" s="19">
        <f t="shared" si="10"/>
        <v>0.6824146981627297</v>
      </c>
      <c r="K144" s="19">
        <f t="shared" si="1"/>
        <v>0.14285714285714285</v>
      </c>
      <c r="L144" s="18">
        <f t="shared" si="2"/>
        <v>39692.682926829271</v>
      </c>
    </row>
    <row r="145" spans="1:12" ht="15.75" customHeight="1">
      <c r="A145" s="16">
        <v>45992</v>
      </c>
      <c r="B145" s="17" t="s">
        <v>16</v>
      </c>
      <c r="C145" s="17" t="s">
        <v>17</v>
      </c>
      <c r="D145" s="17">
        <v>619</v>
      </c>
      <c r="E145" s="17">
        <v>130</v>
      </c>
      <c r="F145" s="17">
        <v>75</v>
      </c>
      <c r="G145" s="17">
        <v>52</v>
      </c>
      <c r="H145" s="18">
        <v>0</v>
      </c>
      <c r="I145" s="19">
        <f t="shared" si="10"/>
        <v>0.21001615508885299</v>
      </c>
      <c r="J145" s="19">
        <f t="shared" si="10"/>
        <v>0.57692307692307687</v>
      </c>
      <c r="K145" s="19">
        <f t="shared" si="1"/>
        <v>8.4006462035541199E-2</v>
      </c>
      <c r="L145" s="18">
        <f t="shared" si="2"/>
        <v>0</v>
      </c>
    </row>
    <row r="146" spans="1:12" ht="15.75" customHeight="1">
      <c r="A146" s="16">
        <v>45999</v>
      </c>
      <c r="B146" s="17" t="s">
        <v>12</v>
      </c>
      <c r="C146" s="17" t="s">
        <v>13</v>
      </c>
      <c r="D146" s="17">
        <v>772</v>
      </c>
      <c r="E146" s="17">
        <v>208</v>
      </c>
      <c r="F146" s="17">
        <v>139</v>
      </c>
      <c r="G146" s="17">
        <v>107</v>
      </c>
      <c r="H146" s="18">
        <v>867000</v>
      </c>
      <c r="I146" s="19">
        <f t="shared" ref="I146:J157" si="11">IFERROR(E146/D146,0)</f>
        <v>0.26943005181347152</v>
      </c>
      <c r="J146" s="19">
        <f t="shared" si="11"/>
        <v>0.66826923076923073</v>
      </c>
      <c r="K146" s="19">
        <f t="shared" si="1"/>
        <v>0.13860103626943004</v>
      </c>
      <c r="L146" s="18">
        <f t="shared" si="2"/>
        <v>8102.8037383177571</v>
      </c>
    </row>
    <row r="147" spans="1:12" ht="15.75" customHeight="1">
      <c r="A147" s="16">
        <v>45999</v>
      </c>
      <c r="B147" s="17" t="s">
        <v>14</v>
      </c>
      <c r="C147" s="17" t="s">
        <v>19</v>
      </c>
      <c r="D147" s="17">
        <v>1462</v>
      </c>
      <c r="E147" s="17">
        <v>419</v>
      </c>
      <c r="F147" s="17">
        <v>269</v>
      </c>
      <c r="G147" s="17">
        <v>210</v>
      </c>
      <c r="H147" s="18">
        <v>10391000</v>
      </c>
      <c r="I147" s="19">
        <f t="shared" si="11"/>
        <v>0.286593707250342</v>
      </c>
      <c r="J147" s="19">
        <f t="shared" si="11"/>
        <v>0.64200477326968974</v>
      </c>
      <c r="K147" s="19">
        <f t="shared" si="1"/>
        <v>0.1436388508891929</v>
      </c>
      <c r="L147" s="18">
        <f t="shared" si="2"/>
        <v>49480.952380952382</v>
      </c>
    </row>
    <row r="148" spans="1:12" ht="15.75" customHeight="1">
      <c r="A148" s="16">
        <v>45999</v>
      </c>
      <c r="B148" s="17" t="s">
        <v>16</v>
      </c>
      <c r="C148" s="17" t="s">
        <v>24</v>
      </c>
      <c r="D148" s="17">
        <v>889</v>
      </c>
      <c r="E148" s="17">
        <v>181</v>
      </c>
      <c r="F148" s="17">
        <v>101</v>
      </c>
      <c r="G148" s="17">
        <v>67</v>
      </c>
      <c r="H148" s="18">
        <v>2764000</v>
      </c>
      <c r="I148" s="19">
        <f t="shared" si="11"/>
        <v>0.20359955005624297</v>
      </c>
      <c r="J148" s="19">
        <f t="shared" si="11"/>
        <v>0.55801104972375692</v>
      </c>
      <c r="K148" s="19">
        <f t="shared" si="1"/>
        <v>7.536557930258718E-2</v>
      </c>
      <c r="L148" s="18">
        <f t="shared" si="2"/>
        <v>41253.73134328358</v>
      </c>
    </row>
    <row r="149" spans="1:12" ht="15.75" customHeight="1">
      <c r="A149" s="16">
        <v>46006</v>
      </c>
      <c r="B149" s="17" t="s">
        <v>12</v>
      </c>
      <c r="C149" s="17" t="s">
        <v>18</v>
      </c>
      <c r="D149" s="17">
        <v>1158</v>
      </c>
      <c r="E149" s="17">
        <v>292</v>
      </c>
      <c r="F149" s="17">
        <v>184</v>
      </c>
      <c r="G149" s="17">
        <v>136</v>
      </c>
      <c r="H149" s="18">
        <v>6855000</v>
      </c>
      <c r="I149" s="19">
        <f t="shared" si="11"/>
        <v>0.25215889464594127</v>
      </c>
      <c r="J149" s="19">
        <f t="shared" si="11"/>
        <v>0.63013698630136983</v>
      </c>
      <c r="K149" s="19">
        <f t="shared" si="1"/>
        <v>0.11744386873920552</v>
      </c>
      <c r="L149" s="18">
        <f t="shared" si="2"/>
        <v>50404.411764705881</v>
      </c>
    </row>
    <row r="150" spans="1:12" ht="15.75" customHeight="1">
      <c r="A150" s="16">
        <v>46006</v>
      </c>
      <c r="B150" s="17" t="s">
        <v>14</v>
      </c>
      <c r="C150" s="17" t="s">
        <v>15</v>
      </c>
      <c r="D150" s="17">
        <v>1213</v>
      </c>
      <c r="E150" s="17">
        <v>357</v>
      </c>
      <c r="F150" s="17">
        <v>235</v>
      </c>
      <c r="G150" s="17">
        <v>183</v>
      </c>
      <c r="H150" s="18">
        <v>0</v>
      </c>
      <c r="I150" s="19">
        <f t="shared" si="11"/>
        <v>0.29431162407254741</v>
      </c>
      <c r="J150" s="19">
        <f t="shared" si="11"/>
        <v>0.65826330532212884</v>
      </c>
      <c r="K150" s="19">
        <f t="shared" si="1"/>
        <v>0.1508656224237428</v>
      </c>
      <c r="L150" s="18">
        <f t="shared" si="2"/>
        <v>0</v>
      </c>
    </row>
    <row r="151" spans="1:12" ht="15.75" customHeight="1">
      <c r="A151" s="16">
        <v>46006</v>
      </c>
      <c r="B151" s="17" t="s">
        <v>16</v>
      </c>
      <c r="C151" s="17" t="s">
        <v>20</v>
      </c>
      <c r="D151" s="17">
        <v>639</v>
      </c>
      <c r="E151" s="17">
        <v>129</v>
      </c>
      <c r="F151" s="17">
        <v>76</v>
      </c>
      <c r="G151" s="17">
        <v>52</v>
      </c>
      <c r="H151" s="18">
        <v>4203000</v>
      </c>
      <c r="I151" s="19">
        <f t="shared" si="11"/>
        <v>0.20187793427230047</v>
      </c>
      <c r="J151" s="19">
        <f t="shared" si="11"/>
        <v>0.58914728682170547</v>
      </c>
      <c r="K151" s="19">
        <f t="shared" si="1"/>
        <v>8.1377151799687006E-2</v>
      </c>
      <c r="L151" s="18">
        <f t="shared" si="2"/>
        <v>80826.923076923078</v>
      </c>
    </row>
    <row r="152" spans="1:12" ht="15.75" customHeight="1">
      <c r="A152" s="16">
        <v>46013</v>
      </c>
      <c r="B152" s="17" t="s">
        <v>12</v>
      </c>
      <c r="C152" s="17" t="s">
        <v>13</v>
      </c>
      <c r="D152" s="17">
        <v>735</v>
      </c>
      <c r="E152" s="17">
        <v>212</v>
      </c>
      <c r="F152" s="17">
        <v>133</v>
      </c>
      <c r="G152" s="17">
        <v>106</v>
      </c>
      <c r="H152" s="18">
        <v>609000</v>
      </c>
      <c r="I152" s="19">
        <f t="shared" si="11"/>
        <v>0.28843537414965986</v>
      </c>
      <c r="J152" s="19">
        <f t="shared" si="11"/>
        <v>0.62735849056603776</v>
      </c>
      <c r="K152" s="19">
        <f t="shared" si="1"/>
        <v>0.14421768707482993</v>
      </c>
      <c r="L152" s="18">
        <f t="shared" si="2"/>
        <v>5745.2830188679245</v>
      </c>
    </row>
    <row r="153" spans="1:12" ht="15.75" customHeight="1">
      <c r="A153" s="16">
        <v>46013</v>
      </c>
      <c r="B153" s="17" t="s">
        <v>14</v>
      </c>
      <c r="C153" s="17" t="s">
        <v>15</v>
      </c>
      <c r="D153" s="17">
        <v>1037</v>
      </c>
      <c r="E153" s="17">
        <v>300</v>
      </c>
      <c r="F153" s="17">
        <v>196</v>
      </c>
      <c r="G153" s="17">
        <v>151</v>
      </c>
      <c r="H153" s="18">
        <v>0</v>
      </c>
      <c r="I153" s="19">
        <f t="shared" si="11"/>
        <v>0.28929604628736738</v>
      </c>
      <c r="J153" s="19">
        <f t="shared" si="11"/>
        <v>0.65333333333333332</v>
      </c>
      <c r="K153" s="19">
        <f t="shared" si="1"/>
        <v>0.14561234329797493</v>
      </c>
      <c r="L153" s="18">
        <f t="shared" si="2"/>
        <v>0</v>
      </c>
    </row>
    <row r="154" spans="1:12" ht="15.75" customHeight="1">
      <c r="A154" s="16">
        <v>46013</v>
      </c>
      <c r="B154" s="17" t="s">
        <v>16</v>
      </c>
      <c r="C154" s="17" t="s">
        <v>24</v>
      </c>
      <c r="D154" s="17">
        <v>839</v>
      </c>
      <c r="E154" s="17">
        <v>196</v>
      </c>
      <c r="F154" s="17">
        <v>111</v>
      </c>
      <c r="G154" s="17">
        <v>72</v>
      </c>
      <c r="H154" s="18">
        <v>3085000</v>
      </c>
      <c r="I154" s="19">
        <f t="shared" si="11"/>
        <v>0.23361144219308702</v>
      </c>
      <c r="J154" s="19">
        <f t="shared" si="11"/>
        <v>0.56632653061224492</v>
      </c>
      <c r="K154" s="19">
        <f t="shared" si="1"/>
        <v>8.5816448152562577E-2</v>
      </c>
      <c r="L154" s="18">
        <f t="shared" si="2"/>
        <v>42847.222222222219</v>
      </c>
    </row>
    <row r="155" spans="1:12" ht="15.75" customHeight="1">
      <c r="A155" s="16">
        <v>46020</v>
      </c>
      <c r="B155" s="17" t="s">
        <v>12</v>
      </c>
      <c r="C155" s="17" t="s">
        <v>21</v>
      </c>
      <c r="D155" s="17">
        <v>936</v>
      </c>
      <c r="E155" s="17">
        <v>206</v>
      </c>
      <c r="F155" s="17">
        <v>139</v>
      </c>
      <c r="G155" s="17">
        <v>96</v>
      </c>
      <c r="H155" s="18">
        <v>0</v>
      </c>
      <c r="I155" s="19">
        <f t="shared" si="11"/>
        <v>0.22008547008547008</v>
      </c>
      <c r="J155" s="19">
        <f t="shared" si="11"/>
        <v>0.67475728155339809</v>
      </c>
      <c r="K155" s="19">
        <f t="shared" si="1"/>
        <v>0.10256410256410256</v>
      </c>
      <c r="L155" s="18">
        <f t="shared" si="2"/>
        <v>0</v>
      </c>
    </row>
    <row r="156" spans="1:12" ht="15.75" customHeight="1">
      <c r="A156" s="16">
        <v>46020</v>
      </c>
      <c r="B156" s="17" t="s">
        <v>14</v>
      </c>
      <c r="C156" s="17" t="s">
        <v>19</v>
      </c>
      <c r="D156" s="17">
        <v>1500</v>
      </c>
      <c r="E156" s="17">
        <v>432</v>
      </c>
      <c r="F156" s="17">
        <v>300</v>
      </c>
      <c r="G156" s="17">
        <v>228</v>
      </c>
      <c r="H156" s="18">
        <v>9901000</v>
      </c>
      <c r="I156" s="19">
        <f t="shared" si="11"/>
        <v>0.28799999999999998</v>
      </c>
      <c r="J156" s="19">
        <f t="shared" si="11"/>
        <v>0.69444444444444442</v>
      </c>
      <c r="K156" s="19">
        <f t="shared" si="1"/>
        <v>0.152</v>
      </c>
      <c r="L156" s="18">
        <f t="shared" si="2"/>
        <v>43425.438596491229</v>
      </c>
    </row>
    <row r="157" spans="1:12" ht="15.75" customHeight="1">
      <c r="A157" s="16">
        <v>46020</v>
      </c>
      <c r="B157" s="17" t="s">
        <v>16</v>
      </c>
      <c r="C157" s="17" t="s">
        <v>17</v>
      </c>
      <c r="D157" s="17">
        <v>573</v>
      </c>
      <c r="E157" s="17">
        <v>125</v>
      </c>
      <c r="F157" s="17">
        <v>66</v>
      </c>
      <c r="G157" s="17">
        <v>41</v>
      </c>
      <c r="H157" s="18">
        <v>0</v>
      </c>
      <c r="I157" s="19">
        <f t="shared" si="11"/>
        <v>0.2181500872600349</v>
      </c>
      <c r="J157" s="19">
        <f t="shared" si="11"/>
        <v>0.52800000000000002</v>
      </c>
      <c r="K157" s="19">
        <f t="shared" si="1"/>
        <v>7.1553228621291445E-2</v>
      </c>
      <c r="L157" s="18">
        <f t="shared" si="2"/>
        <v>0</v>
      </c>
    </row>
    <row r="158" spans="1:12" ht="15.75" customHeight="1"/>
    <row r="159" spans="1:12" ht="15.75" customHeight="1"/>
    <row r="160" spans="1: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DASHBOARD</vt:lpstr>
      <vt:lpstr>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Huyen</dc:creator>
  <cp:lastModifiedBy>Vu Huyen</cp:lastModifiedBy>
  <dcterms:created xsi:type="dcterms:W3CDTF">2026-09-28T15:17:56Z</dcterms:created>
  <dcterms:modified xsi:type="dcterms:W3CDTF">2026-10-03T11:42:26Z</dcterms:modified>
</cp:coreProperties>
</file>